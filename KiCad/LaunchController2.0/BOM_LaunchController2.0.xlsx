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TSRP\Gen6-GSE-Elec\KiCad\LaunchController2.0\"/>
    </mc:Choice>
  </mc:AlternateContent>
  <xr:revisionPtr revIDLastSave="0" documentId="13_ncr:9_{AB23BE3D-1396-4B94-88AE-4BB647613D3F}" xr6:coauthVersionLast="47" xr6:coauthVersionMax="47" xr10:uidLastSave="{00000000-0000-0000-0000-000000000000}"/>
  <bookViews>
    <workbookView xWindow="33465" yWindow="-705" windowWidth="38670" windowHeight="21150" xr2:uid="{67BE81D0-99D5-4A12-A1A5-9B30203A7372}"/>
  </bookViews>
  <sheets>
    <sheet name="LaunchController2.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11" i="1"/>
  <c r="I12" i="1"/>
  <c r="I13" i="1"/>
  <c r="I15" i="1"/>
  <c r="I16" i="1"/>
  <c r="I17" i="1"/>
  <c r="I18" i="1"/>
  <c r="I21" i="1"/>
  <c r="I23" i="1"/>
  <c r="I28" i="1"/>
  <c r="I29" i="1"/>
  <c r="I30" i="1"/>
  <c r="I31" i="1"/>
  <c r="I32" i="1"/>
  <c r="I33" i="1"/>
  <c r="I34" i="1"/>
  <c r="I37" i="1"/>
  <c r="I44" i="1"/>
  <c r="I46" i="1"/>
  <c r="I47" i="1"/>
  <c r="I48" i="1"/>
  <c r="I49" i="1"/>
  <c r="I50" i="1"/>
  <c r="I53" i="1"/>
  <c r="I54" i="1"/>
  <c r="I55" i="1"/>
  <c r="I56" i="1"/>
  <c r="I57" i="1"/>
  <c r="I59" i="1"/>
  <c r="I2" i="1"/>
  <c r="G51" i="1"/>
  <c r="I51" i="1" s="1"/>
  <c r="G50" i="1"/>
  <c r="G45" i="1"/>
  <c r="I45" i="1" s="1"/>
  <c r="G27" i="1"/>
  <c r="I27" i="1" s="1"/>
  <c r="G28" i="1"/>
  <c r="G29" i="1"/>
  <c r="G30" i="1"/>
  <c r="G31" i="1"/>
  <c r="G32" i="1"/>
  <c r="G33" i="1"/>
  <c r="G34" i="1"/>
  <c r="G35" i="1"/>
  <c r="I35" i="1" s="1"/>
  <c r="G36" i="1"/>
  <c r="I36" i="1" s="1"/>
  <c r="G37" i="1"/>
  <c r="G38" i="1"/>
  <c r="I38" i="1" s="1"/>
  <c r="G39" i="1"/>
  <c r="I39" i="1" s="1"/>
  <c r="G40" i="1"/>
  <c r="I40" i="1" s="1"/>
  <c r="G41" i="1"/>
  <c r="I41" i="1" s="1"/>
  <c r="G42" i="1"/>
  <c r="I42" i="1" s="1"/>
  <c r="G43" i="1"/>
  <c r="I43" i="1" s="1"/>
  <c r="G44" i="1"/>
  <c r="G46" i="1"/>
  <c r="G47" i="1"/>
  <c r="G48" i="1"/>
  <c r="G49" i="1"/>
  <c r="G52" i="1"/>
  <c r="I52" i="1" s="1"/>
  <c r="G53" i="1"/>
  <c r="G54" i="1"/>
  <c r="G55" i="1"/>
  <c r="G56" i="1"/>
  <c r="G57" i="1"/>
  <c r="G58" i="1"/>
  <c r="I58" i="1" s="1"/>
  <c r="G59" i="1"/>
  <c r="G60" i="1"/>
  <c r="I60" i="1" s="1"/>
  <c r="G61" i="1"/>
  <c r="I61" i="1" s="1"/>
  <c r="G26" i="1"/>
  <c r="I26" i="1" s="1"/>
  <c r="G25" i="1"/>
  <c r="I25" i="1" s="1"/>
  <c r="G24" i="1"/>
  <c r="I24" i="1" s="1"/>
  <c r="G23" i="1"/>
  <c r="G22" i="1"/>
  <c r="I22" i="1" s="1"/>
  <c r="G21" i="1"/>
  <c r="G20" i="1"/>
  <c r="I20" i="1" s="1"/>
  <c r="G19" i="1"/>
  <c r="I19" i="1" s="1"/>
  <c r="G11" i="1"/>
  <c r="G12" i="1"/>
  <c r="G13" i="1"/>
  <c r="G14" i="1"/>
  <c r="I14" i="1" s="1"/>
  <c r="G15" i="1"/>
  <c r="G16" i="1"/>
  <c r="G17" i="1"/>
  <c r="G18" i="1"/>
  <c r="G10" i="1"/>
  <c r="I10" i="1" s="1"/>
  <c r="G9" i="1"/>
  <c r="I9" i="1" s="1"/>
  <c r="G3" i="1"/>
  <c r="I3" i="1" s="1"/>
  <c r="G4" i="1"/>
  <c r="I4" i="1" s="1"/>
  <c r="G5" i="1"/>
  <c r="G6" i="1"/>
  <c r="I6" i="1" s="1"/>
  <c r="G7" i="1"/>
  <c r="I7" i="1" s="1"/>
  <c r="G8" i="1"/>
  <c r="I8" i="1" s="1"/>
  <c r="G2" i="1"/>
  <c r="J2" i="1" l="1"/>
</calcChain>
</file>

<file path=xl/sharedStrings.xml><?xml version="1.0" encoding="utf-8"?>
<sst xmlns="http://schemas.openxmlformats.org/spreadsheetml/2006/main" count="250" uniqueCount="203">
  <si>
    <t>Reference</t>
  </si>
  <si>
    <t>Qty</t>
  </si>
  <si>
    <t>Value</t>
  </si>
  <si>
    <t>Footprint</t>
  </si>
  <si>
    <t>Datasheet</t>
  </si>
  <si>
    <t>R38,R40,R41,R43</t>
  </si>
  <si>
    <t>0R</t>
  </si>
  <si>
    <t>Resistor_SMD:R_0603_1608Metric_Pad0.98x0.95mm_HandSolder</t>
  </si>
  <si>
    <t>https://www.chip1stop.com/view/dispDetail/DispDetail?partId=ROHM-0021098</t>
  </si>
  <si>
    <t>C1,C2</t>
  </si>
  <si>
    <t>15pF</t>
  </si>
  <si>
    <t>Capacitor_SMD:C_0603_1608Metric_Pad1.08x0.95mm_HandSolder</t>
  </si>
  <si>
    <t>https://akizukidenshi.com/catalog/g/gP-13312/</t>
  </si>
  <si>
    <t>C29,C30,C32,C33,C34</t>
  </si>
  <si>
    <t>0.01uF</t>
  </si>
  <si>
    <t>https://akizukidenshi.com/catalog/g/gP-16143/</t>
  </si>
  <si>
    <t>C3,C4,C5,C6,C7,C8,C10,C11,C12,C16,C19,C23,C25,C26,C27,C31</t>
  </si>
  <si>
    <t>0.1uF</t>
  </si>
  <si>
    <t>C13,C14</t>
  </si>
  <si>
    <t>1uF</t>
  </si>
  <si>
    <t>C9</t>
  </si>
  <si>
    <t>4.7uF</t>
  </si>
  <si>
    <t>C18,C22,C24</t>
  </si>
  <si>
    <t>10uF</t>
  </si>
  <si>
    <t>Capacitor_SMD:C_0805_2012Metric_Pad1.18x1.45mm_HandSolder</t>
  </si>
  <si>
    <t>https://akizukidenshi.com/catalog/g/g113388/,https://akizukidenshi.com/catalog/g/gP-16143/</t>
  </si>
  <si>
    <t>L1</t>
  </si>
  <si>
    <t>10uH</t>
  </si>
  <si>
    <t>Inductor_SMD:L_1210_3225Metric_Pad1.42x2.65mm_HandSolder</t>
  </si>
  <si>
    <t>C15,C17</t>
  </si>
  <si>
    <t>Capacitor_SMD:C_1206_3216Metric_Pad1.33x1.80mm_HandSolder</t>
  </si>
  <si>
    <t>https://akizukidenshi.com/catalog/g/gP-17338/</t>
  </si>
  <si>
    <t>R1,R2,R5,R6,R9,R14,R15,R16,R17,R18,R19,R20,R21,R22,R23,R24,R25,R26,R27,R28,R29,R45,R47,R49,R50,R51,R52,R53,R54,R55,R56,R57,R58,R59,R60,R61,R62,R63,R64</t>
  </si>
  <si>
    <t>1kR</t>
  </si>
  <si>
    <t>https://www.chip1stop.com/view/dispDetail/DispDetail?partId=ROHM-0021097</t>
  </si>
  <si>
    <t>R4,R11</t>
  </si>
  <si>
    <t>1MR</t>
  </si>
  <si>
    <t>https://www.chip1stop.com/view/dispDetail/DispDetail?partId=ROHM-0000199</t>
  </si>
  <si>
    <t>R32</t>
  </si>
  <si>
    <t>3.3kR</t>
  </si>
  <si>
    <t>https://www.chip1stop.com/view/dispDetail/DispDetail?partId=ROHM-0039481</t>
  </si>
  <si>
    <t>R12,R13,R46,R48</t>
  </si>
  <si>
    <t>5.1kR</t>
  </si>
  <si>
    <t>https://www.digikey.jp/ja/products/detail/yageo/RC0603FR-075K1L/727268</t>
  </si>
  <si>
    <t>R31</t>
  </si>
  <si>
    <t>5.6kR</t>
  </si>
  <si>
    <t>https://www.chip1stop.com/view/dispDetail/DispDetail?partId=ROHM-0040168</t>
  </si>
  <si>
    <t>R3,R7,R8,R10,R30,R33,R34,TH1</t>
  </si>
  <si>
    <t>10kR</t>
  </si>
  <si>
    <t>https://akizukidenshi.com/catalog/g/gP-05252/,https://www.chip1stop.com/view/dispDetail/DispDetail?partId=ROHM-0021098,https://www.chip1stop.com/view/dispDetail/DispDetail?partId=ROHM-0040131</t>
  </si>
  <si>
    <t>R37</t>
  </si>
  <si>
    <t>R44</t>
  </si>
  <si>
    <t>120R</t>
  </si>
  <si>
    <t>https://www.chip1stop.com/view/dispDetail/DispDetail?partId=ROHM-0040116</t>
  </si>
  <si>
    <t>R39,R42</t>
  </si>
  <si>
    <t>0.1R2W</t>
  </si>
  <si>
    <t>Resistor_SMD:R_2816_7142Metric_Pad3.20x4.45mm_HandSolder</t>
  </si>
  <si>
    <t>R36</t>
  </si>
  <si>
    <t>U11</t>
  </si>
  <si>
    <t>24LC256</t>
  </si>
  <si>
    <t>Package_DIP:DIP-8_W7.62mm</t>
  </si>
  <si>
    <t>FB1,FB2</t>
  </si>
  <si>
    <t>2kR@100MHz</t>
  </si>
  <si>
    <t>Inductor_SMD:L_0603_1608Metric_Pad1.05x0.95mm_HandSolder</t>
  </si>
  <si>
    <t>https://www.digikey.jp/ja/products/detail/tdk/MMZ1608S202ATA00/3078624</t>
  </si>
  <si>
    <t>Q2</t>
  </si>
  <si>
    <t>2SC3325-Y</t>
  </si>
  <si>
    <t>Package_TO_SOT_SMD:SC-59_Handsoldering</t>
  </si>
  <si>
    <t>https://akizukidenshi.com/catalog/g/gI-00628/</t>
  </si>
  <si>
    <t>R35</t>
  </si>
  <si>
    <t>348kR ﾂｱ1%</t>
  </si>
  <si>
    <t>U10</t>
  </si>
  <si>
    <t>ADM2582E</t>
  </si>
  <si>
    <t>Package_SO:SOIC-20W_7.5x12.8mm_P1.27mm</t>
  </si>
  <si>
    <t>https://www.analog.com/media/en/technical-documentation/data-sheets/adm2582e-2587e.pdf</t>
  </si>
  <si>
    <t>U1</t>
  </si>
  <si>
    <t>ATmega2560-16A</t>
  </si>
  <si>
    <t>Package_QFP:TQFP-100_14x14mm_P0.5mm</t>
  </si>
  <si>
    <t>https://akizukidenshi.com/catalog/g/g116567/</t>
  </si>
  <si>
    <t>J11</t>
  </si>
  <si>
    <t>CONN_AUDIO</t>
  </si>
  <si>
    <t>TerminalBlock_WAGO:TerminalBlock_WAGO_2601-3102_1x02_P3.50mm_Vertical</t>
  </si>
  <si>
    <t>https://www.digikey.jp/ja/products/detail/wago-corporation/2601-3102/17125194</t>
  </si>
  <si>
    <t>J8</t>
  </si>
  <si>
    <t>CONN_BOARD_3</t>
  </si>
  <si>
    <t>TSRP_Connector_Hirose:DF51A-6DP-2DSA</t>
  </si>
  <si>
    <t>~</t>
  </si>
  <si>
    <t>J1</t>
  </si>
  <si>
    <t>CONN_ICSP</t>
  </si>
  <si>
    <t>Connector_PinHeader_2.54mm:PinHeader_1x06_P2.54mm_Vertical</t>
  </si>
  <si>
    <t>J9</t>
  </si>
  <si>
    <t>CONN_PANEL_BAORD_1</t>
  </si>
  <si>
    <t>TSRP_Connector_Hirose:DF51A-18DP-2DS</t>
  </si>
  <si>
    <t>J10</t>
  </si>
  <si>
    <t>CONN_PANEL_BAORD_2</t>
  </si>
  <si>
    <t>TSRP_Connector_Hirose:DF51A-22DP-2DS</t>
  </si>
  <si>
    <t>J13</t>
  </si>
  <si>
    <t>CONN_RS485</t>
  </si>
  <si>
    <t>TerminalBlock_WAGO:TerminalBlock_WAGO_2601-3104_1x04_P3.50mm_Vertical</t>
  </si>
  <si>
    <t>https://www.digikey.jp/ja/products/detail/wago-corporation/2601-3104/17121801</t>
  </si>
  <si>
    <t>J12</t>
  </si>
  <si>
    <t>CONN_SPEAKER</t>
  </si>
  <si>
    <t>J7</t>
  </si>
  <si>
    <t>CONN_STATUS_PANEL</t>
  </si>
  <si>
    <t>TSRP_Connector_Hirose:DF51A-14DP-2DS</t>
  </si>
  <si>
    <t>J2</t>
  </si>
  <si>
    <t>CONN_USB</t>
  </si>
  <si>
    <t>J6</t>
  </si>
  <si>
    <t>DC_IN</t>
  </si>
  <si>
    <t>U9</t>
  </si>
  <si>
    <t>DFPlayer</t>
  </si>
  <si>
    <t>TSRP_Module:DFPlayer-mini</t>
  </si>
  <si>
    <t>J5</t>
  </si>
  <si>
    <t>FROM_CONVERTER</t>
  </si>
  <si>
    <t>U2</t>
  </si>
  <si>
    <t>FT232RNL</t>
  </si>
  <si>
    <t>Package_SO:SSOP-28_5.3x10.2mm_P0.65mm</t>
  </si>
  <si>
    <t>D1,D3,D5</t>
  </si>
  <si>
    <t>GS1010FL</t>
  </si>
  <si>
    <t>Diode_SMD:D_SOD-123F</t>
  </si>
  <si>
    <t>Y1</t>
  </si>
  <si>
    <t>HUSG-16.000-20</t>
  </si>
  <si>
    <t>Crystal:Crystal_HC49-4H_Vertical</t>
  </si>
  <si>
    <t>U6,U7</t>
  </si>
  <si>
    <t>INA219BIDCNT</t>
  </si>
  <si>
    <t>Package_TO_SOT_SMD:SOT-23-8</t>
  </si>
  <si>
    <t>D6,D8</t>
  </si>
  <si>
    <t>LED_B</t>
  </si>
  <si>
    <t>LED_SMD:LED_0603_1608Metric_Pad1.05x0.95mm_HandSolder</t>
  </si>
  <si>
    <t>https://akizukidenshi.com/catalog/g/gI-03982/</t>
  </si>
  <si>
    <t>D12,D14</t>
  </si>
  <si>
    <t>LED_G</t>
  </si>
  <si>
    <t>https://akizukidenshi.com/catalog/g/gI-06417/</t>
  </si>
  <si>
    <t>D2,D7,D9,D10,D15,D16,D17,D18,D19,D20,D21,D22,D23,D24,D25</t>
  </si>
  <si>
    <t>LED_O</t>
  </si>
  <si>
    <t>https://akizukidenshi.com/catalog/g/g130072/,https://akizukidenshi.com/catalog/g/gI-06416/</t>
  </si>
  <si>
    <t>D11,D13</t>
  </si>
  <si>
    <t>LED_R</t>
  </si>
  <si>
    <t>https://akizukidenshi.com/catalog/g/gI-03978/</t>
  </si>
  <si>
    <t>D4</t>
  </si>
  <si>
    <t>LED_Y</t>
  </si>
  <si>
    <t>https://akizukidenshi.com/catalog/g/g111880</t>
  </si>
  <si>
    <t>F1</t>
  </si>
  <si>
    <t>MF-NSMF050</t>
  </si>
  <si>
    <t>Fuse:Fuse_1206_3216Metric_Pad1.42x1.75mm_HandSolder</t>
  </si>
  <si>
    <t>U5</t>
  </si>
  <si>
    <t>NJM7805SDL1</t>
  </si>
  <si>
    <t>Package_TO_SOT_SMD:TO-252-2</t>
  </si>
  <si>
    <t>SW1,SW2,SW3</t>
  </si>
  <si>
    <t>SW_Push</t>
  </si>
  <si>
    <t>TSRP_Button_Switch_SMD:SKRPACE010</t>
  </si>
  <si>
    <t>SW4,SW5,SW6,SW7,SW8,SW9,SW10,SW11,SW12,SW13,SW14,SW15,SW16,SW17</t>
  </si>
  <si>
    <t>Connector_PinHeader_2.54mm:PinHeader_1x02_P2.54mm_Vertical</t>
  </si>
  <si>
    <t>Q1,Q3</t>
  </si>
  <si>
    <t>TJ8S06M3L</t>
  </si>
  <si>
    <t>J4</t>
  </si>
  <si>
    <t>TO_CONVERTER</t>
  </si>
  <si>
    <t>TP3</t>
  </si>
  <si>
    <t>TP_5V</t>
  </si>
  <si>
    <t>TestPoint:TestPoint_THTPad_D2.5mm_Drill1.2mm</t>
  </si>
  <si>
    <t>https://akizukidenshi.com/catalog/g/gP-12215/</t>
  </si>
  <si>
    <t>TP2</t>
  </si>
  <si>
    <t>TP_12V</t>
  </si>
  <si>
    <t>TP4</t>
  </si>
  <si>
    <t>TP_GND</t>
  </si>
  <si>
    <t>TP1</t>
  </si>
  <si>
    <t>TP_INPUT</t>
  </si>
  <si>
    <t>U4</t>
  </si>
  <si>
    <t>TPS2116DRL</t>
  </si>
  <si>
    <t>Package_TO_SOT_SMD:SOT-583-8</t>
  </si>
  <si>
    <t>C20,C21</t>
  </si>
  <si>
    <t>uF</t>
  </si>
  <si>
    <t>J3</t>
  </si>
  <si>
    <t>USB_C_Receptacle_USB2.0_16P</t>
  </si>
  <si>
    <t>Connector_USB:USB_C_Receptacle_GCT_USB4105-xx-A_16P_TopMnt_Horizontal</t>
  </si>
  <si>
    <t>U3</t>
  </si>
  <si>
    <t>Package_TO_SOT_SMD:SOT-23-6</t>
  </si>
  <si>
    <t>価格</t>
    <rPh sb="0" eb="2">
      <t>カカク</t>
    </rPh>
    <phoneticPr fontId="18"/>
  </si>
  <si>
    <t>在庫</t>
    <rPh sb="0" eb="2">
      <t>ザイコ</t>
    </rPh>
    <phoneticPr fontId="18"/>
  </si>
  <si>
    <t>https://akizukidenshi.com/catalog/g/gP-14977/</t>
    <phoneticPr fontId="18"/>
  </si>
  <si>
    <t>https://www.chip1stop.com/view/dispDetail/DispDetail?partId=VISH-0652940</t>
    <phoneticPr fontId="18"/>
  </si>
  <si>
    <t>100kR+-1%</t>
    <phoneticPr fontId="18"/>
  </si>
  <si>
    <t>100R</t>
    <phoneticPr fontId="18"/>
  </si>
  <si>
    <t>https://akizukidenshi.com/catalog/g/gI-00705/</t>
    <phoneticPr fontId="18"/>
  </si>
  <si>
    <t>https://akizukidenshi.com/catalog/g/g118243/</t>
    <phoneticPr fontId="18"/>
  </si>
  <si>
    <t>https://akizukidenshi.com/catalog/g/gM-12544/</t>
    <phoneticPr fontId="18"/>
  </si>
  <si>
    <t>https://akizukidenshi.com/catalog/g/gI-06014/</t>
    <phoneticPr fontId="18"/>
  </si>
  <si>
    <t>https://akizukidenshi.com/catalog/g/gP-08671/</t>
    <phoneticPr fontId="18"/>
  </si>
  <si>
    <t>https://www.chip1stop.com/view/dispDetail/DispDetail?partId=TI01-0202709</t>
    <phoneticPr fontId="18"/>
  </si>
  <si>
    <t>https://akizukidenshi.com/catalog/g/gP-15300/</t>
    <phoneticPr fontId="18"/>
  </si>
  <si>
    <t>https://akizukidenshi.com/catalog/g/gI-11237/</t>
    <phoneticPr fontId="18"/>
  </si>
  <si>
    <t>https://akizukidenshi.com/catalog/g/g106185/</t>
    <phoneticPr fontId="18"/>
  </si>
  <si>
    <t>https://akizukidenshi.com/catalog/g/gI-13964/</t>
    <phoneticPr fontId="18"/>
  </si>
  <si>
    <t>https://www.digikey.jp/ja/products/detail/wago-corporation/2601-3102/17125194</t>
    <phoneticPr fontId="18"/>
  </si>
  <si>
    <t>https://akizukidenshi.com/catalog/g/gP-12215/</t>
    <phoneticPr fontId="18"/>
  </si>
  <si>
    <t>https://www.ti.com/lit/ds/symlink/tps2116.pdf</t>
    <phoneticPr fontId="18"/>
  </si>
  <si>
    <t>https://www.st.com/resource/en/datasheet/usblc6-2.pdf</t>
    <phoneticPr fontId="18"/>
  </si>
  <si>
    <t>https://akizukidenshi.com/catalog/g/g114356/</t>
    <phoneticPr fontId="18"/>
  </si>
  <si>
    <t>USBLC6-2SC6</t>
    <phoneticPr fontId="18"/>
  </si>
  <si>
    <t>https://akizukidenshi.com/catalog/g/gC-08593/</t>
    <phoneticPr fontId="18"/>
  </si>
  <si>
    <t>必要な金額</t>
    <rPh sb="0" eb="2">
      <t>ヒツヨウ</t>
    </rPh>
    <rPh sb="3" eb="5">
      <t>キンガク</t>
    </rPh>
    <phoneticPr fontId="18"/>
  </si>
  <si>
    <t>(目安)部品の合計金額</t>
    <rPh sb="1" eb="3">
      <t>メヤス</t>
    </rPh>
    <rPh sb="4" eb="6">
      <t>ブヒン</t>
    </rPh>
    <rPh sb="7" eb="9">
      <t>ゴウケイ</t>
    </rPh>
    <rPh sb="9" eb="11">
      <t>キンガク</t>
    </rPh>
    <phoneticPr fontId="18"/>
  </si>
  <si>
    <t>合計金額</t>
    <rPh sb="0" eb="4">
      <t>ゴウケイキンガク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</si>
</sst>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2" formatCode="_ &quot;¥&quot;* #,##0_ ;_ &quot;¥&quot;* \-#,##0_ ;_ &quot;¥&quot;* &quot;-&quot;_ ;_ @_ "/>
  </numFmts>
  <fonts count="21" x14ac:knownFonts="1">
    <font>
      <sz val="11"/>
      <color theme="1"/>
      <name val="Moralerspace Neon JPDOC"/>
      <family val="2"/>
      <charset val="128"/>
    </font>
    <font>
      <sz val="11"/>
      <color theme="1"/>
      <name val="Moralerspace Neon JPDOC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oralerspace Neon JPDOC"/>
      <family val="2"/>
      <charset val="128"/>
    </font>
    <font>
      <b/>
      <sz val="13"/>
      <color theme="3"/>
      <name val="Moralerspace Neon JPDOC"/>
      <family val="2"/>
      <charset val="128"/>
    </font>
    <font>
      <b/>
      <sz val="11"/>
      <color theme="3"/>
      <name val="Moralerspace Neon JPDOC"/>
      <family val="2"/>
      <charset val="128"/>
    </font>
    <font>
      <sz val="11"/>
      <color rgb="FF006100"/>
      <name val="Moralerspace Neon JPDOC"/>
      <family val="2"/>
      <charset val="128"/>
    </font>
    <font>
      <sz val="11"/>
      <color rgb="FF9C0006"/>
      <name val="Moralerspace Neon JPDOC"/>
      <family val="2"/>
      <charset val="128"/>
    </font>
    <font>
      <sz val="11"/>
      <color rgb="FF9C5700"/>
      <name val="Moralerspace Neon JPDOC"/>
      <family val="2"/>
      <charset val="128"/>
    </font>
    <font>
      <sz val="11"/>
      <color rgb="FF3F3F76"/>
      <name val="Moralerspace Neon JPDOC"/>
      <family val="2"/>
      <charset val="128"/>
    </font>
    <font>
      <b/>
      <sz val="11"/>
      <color rgb="FF3F3F3F"/>
      <name val="Moralerspace Neon JPDOC"/>
      <family val="2"/>
      <charset val="128"/>
    </font>
    <font>
      <b/>
      <sz val="11"/>
      <color rgb="FFFA7D00"/>
      <name val="Moralerspace Neon JPDOC"/>
      <family val="2"/>
      <charset val="128"/>
    </font>
    <font>
      <sz val="11"/>
      <color rgb="FFFA7D00"/>
      <name val="Moralerspace Neon JPDOC"/>
      <family val="2"/>
      <charset val="128"/>
    </font>
    <font>
      <b/>
      <sz val="11"/>
      <color theme="0"/>
      <name val="Moralerspace Neon JPDOC"/>
      <family val="2"/>
      <charset val="128"/>
    </font>
    <font>
      <sz val="11"/>
      <color rgb="FFFF0000"/>
      <name val="Moralerspace Neon JPDOC"/>
      <family val="2"/>
      <charset val="128"/>
    </font>
    <font>
      <i/>
      <sz val="11"/>
      <color rgb="FF7F7F7F"/>
      <name val="Moralerspace Neon JPDOC"/>
      <family val="2"/>
      <charset val="128"/>
    </font>
    <font>
      <b/>
      <sz val="11"/>
      <color theme="1"/>
      <name val="Moralerspace Neon JPDOC"/>
      <family val="2"/>
      <charset val="128"/>
    </font>
    <font>
      <sz val="11"/>
      <color theme="0"/>
      <name val="Moralerspace Neon JPDOC"/>
      <family val="2"/>
      <charset val="128"/>
    </font>
    <font>
      <sz val="6"/>
      <name val="Moralerspace Neon JPDOC"/>
      <family val="2"/>
      <charset val="128"/>
    </font>
    <font>
      <u/>
      <sz val="11"/>
      <color theme="10"/>
      <name val="Moralerspace Neon JPDOC"/>
      <family val="2"/>
      <charset val="128"/>
    </font>
    <font>
      <sz val="11"/>
      <color theme="2" tint="-9.9978637043366805E-2"/>
      <name val="Moralerspace Neon JPDOC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42">
      <alignment vertical="center"/>
    </xf>
    <xf numFmtId="42" fontId="0" fillId="0" borderId="0" xfId="0" applyNumberFormat="1">
      <alignment vertical="center"/>
    </xf>
    <xf numFmtId="0" fontId="20" fillId="0" borderId="0" xfId="0" applyFont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1" defaultTableStyle="TableStyleMedium2" defaultPivotStyle="PivotStyleLight16">
    <tableStyle name="Invisible" pivot="0" table="0" count="0" xr9:uid="{730B1269-3817-4082-B0A1-C448B6345E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hip1stop.com/view/dispDetail/DispDetail?partId=TI01-0202709" TargetMode="External"/><Relationship Id="rId13" Type="http://schemas.openxmlformats.org/officeDocument/2006/relationships/hyperlink" Target="https://www.digikey.jp/ja/products/detail/wago-corporation/2601-3102/17125194" TargetMode="External"/><Relationship Id="rId18" Type="http://schemas.openxmlformats.org/officeDocument/2006/relationships/hyperlink" Target="https://akizukidenshi.com/catalog/g/gC-08593/" TargetMode="External"/><Relationship Id="rId3" Type="http://schemas.openxmlformats.org/officeDocument/2006/relationships/hyperlink" Target="https://akizukidenshi.com/catalog/g/gI-00705/" TargetMode="External"/><Relationship Id="rId7" Type="http://schemas.openxmlformats.org/officeDocument/2006/relationships/hyperlink" Target="https://akizukidenshi.com/catalog/g/gP-08671/" TargetMode="External"/><Relationship Id="rId12" Type="http://schemas.openxmlformats.org/officeDocument/2006/relationships/hyperlink" Target="https://akizukidenshi.com/catalog/g/gI-13964/" TargetMode="External"/><Relationship Id="rId17" Type="http://schemas.openxmlformats.org/officeDocument/2006/relationships/hyperlink" Target="https://www.st.com/resource/en/datasheet/usblc6-2.pdf" TargetMode="External"/><Relationship Id="rId2" Type="http://schemas.openxmlformats.org/officeDocument/2006/relationships/hyperlink" Target="https://www.chip1stop.com/view/dispDetail/DispDetail?partId=VISH-0652940" TargetMode="External"/><Relationship Id="rId16" Type="http://schemas.openxmlformats.org/officeDocument/2006/relationships/hyperlink" Target="https://akizukidenshi.com/catalog/g/g114356/" TargetMode="External"/><Relationship Id="rId1" Type="http://schemas.openxmlformats.org/officeDocument/2006/relationships/hyperlink" Target="https://akizukidenshi.com/catalog/g/gP-14977/" TargetMode="External"/><Relationship Id="rId6" Type="http://schemas.openxmlformats.org/officeDocument/2006/relationships/hyperlink" Target="https://akizukidenshi.com/catalog/g/gI-06014/" TargetMode="External"/><Relationship Id="rId11" Type="http://schemas.openxmlformats.org/officeDocument/2006/relationships/hyperlink" Target="https://akizukidenshi.com/catalog/g/g106185/" TargetMode="External"/><Relationship Id="rId5" Type="http://schemas.openxmlformats.org/officeDocument/2006/relationships/hyperlink" Target="https://akizukidenshi.com/catalog/g/gM-12544/" TargetMode="External"/><Relationship Id="rId15" Type="http://schemas.openxmlformats.org/officeDocument/2006/relationships/hyperlink" Target="https://www.ti.com/lit/ds/symlink/tps2116.pdf" TargetMode="External"/><Relationship Id="rId10" Type="http://schemas.openxmlformats.org/officeDocument/2006/relationships/hyperlink" Target="https://akizukidenshi.com/catalog/g/gI-11237/" TargetMode="External"/><Relationship Id="rId4" Type="http://schemas.openxmlformats.org/officeDocument/2006/relationships/hyperlink" Target="https://akizukidenshi.com/catalog/g/g118243/" TargetMode="External"/><Relationship Id="rId9" Type="http://schemas.openxmlformats.org/officeDocument/2006/relationships/hyperlink" Target="https://akizukidenshi.com/catalog/g/gP-15300/" TargetMode="External"/><Relationship Id="rId14" Type="http://schemas.openxmlformats.org/officeDocument/2006/relationships/hyperlink" Target="https://akizukidenshi.com/catalog/g/gP-1221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BDFA-DBC4-424B-A36D-6D4042897A20}">
  <dimension ref="A1:K61"/>
  <sheetViews>
    <sheetView tabSelected="1" topLeftCell="A11" workbookViewId="0">
      <selection activeCell="C59" sqref="C59"/>
    </sheetView>
  </sheetViews>
  <sheetFormatPr defaultRowHeight="14.4" x14ac:dyDescent="0.3"/>
  <cols>
    <col min="3" max="3" width="21.7265625" customWidth="1"/>
    <col min="4" max="4" width="7.36328125" customWidth="1"/>
    <col min="5" max="5" width="10.08984375" customWidth="1"/>
    <col min="6" max="6" width="9.26953125" bestFit="1" customWidth="1"/>
    <col min="7" max="7" width="18.54296875" customWidth="1"/>
    <col min="9" max="9" width="9.26953125" bestFit="1" customWidth="1"/>
    <col min="10" max="10" width="10.2695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177</v>
      </c>
      <c r="G1" t="s">
        <v>201</v>
      </c>
      <c r="H1" t="s">
        <v>178</v>
      </c>
      <c r="I1" t="s">
        <v>200</v>
      </c>
      <c r="J1" t="s">
        <v>202</v>
      </c>
      <c r="K1" s="3" t="b">
        <v>1</v>
      </c>
    </row>
    <row r="2" spans="1:11" x14ac:dyDescent="0.3">
      <c r="A2" t="s">
        <v>5</v>
      </c>
      <c r="B2">
        <v>4</v>
      </c>
      <c r="C2" t="s">
        <v>6</v>
      </c>
      <c r="D2" t="s">
        <v>7</v>
      </c>
      <c r="E2" t="s">
        <v>8</v>
      </c>
      <c r="F2" s="2">
        <v>100</v>
      </c>
      <c r="G2" s="2">
        <f>F2</f>
        <v>100</v>
      </c>
      <c r="H2" t="b">
        <v>1</v>
      </c>
      <c r="I2" s="2">
        <f>SUMIF(H2,FALSE,G2)</f>
        <v>0</v>
      </c>
      <c r="J2" s="2">
        <f>SUM(I2:I61)</f>
        <v>15049</v>
      </c>
      <c r="K2" s="3" t="b">
        <v>0</v>
      </c>
    </row>
    <row r="3" spans="1:11" x14ac:dyDescent="0.3">
      <c r="A3" t="s">
        <v>9</v>
      </c>
      <c r="B3">
        <v>2</v>
      </c>
      <c r="C3" t="s">
        <v>10</v>
      </c>
      <c r="D3" t="s">
        <v>11</v>
      </c>
      <c r="E3" t="s">
        <v>12</v>
      </c>
      <c r="F3" s="2">
        <v>100</v>
      </c>
      <c r="G3" s="2">
        <f t="shared" ref="G3:G8" si="0">F3</f>
        <v>100</v>
      </c>
      <c r="H3" t="b">
        <v>0</v>
      </c>
      <c r="I3" s="2">
        <f t="shared" ref="I3:I61" si="1">SUMIF(H3,FALSE,G3)</f>
        <v>100</v>
      </c>
    </row>
    <row r="4" spans="1:11" x14ac:dyDescent="0.3">
      <c r="A4" t="s">
        <v>13</v>
      </c>
      <c r="B4">
        <v>5</v>
      </c>
      <c r="C4" t="s">
        <v>14</v>
      </c>
      <c r="D4" t="s">
        <v>11</v>
      </c>
      <c r="E4" t="s">
        <v>15</v>
      </c>
      <c r="F4" s="2">
        <v>100</v>
      </c>
      <c r="G4" s="2">
        <f t="shared" si="0"/>
        <v>100</v>
      </c>
      <c r="H4" t="b">
        <v>0</v>
      </c>
      <c r="I4" s="2">
        <f t="shared" si="1"/>
        <v>100</v>
      </c>
    </row>
    <row r="5" spans="1:11" x14ac:dyDescent="0.3">
      <c r="A5" t="s">
        <v>16</v>
      </c>
      <c r="B5">
        <v>16</v>
      </c>
      <c r="C5" t="s">
        <v>17</v>
      </c>
      <c r="D5" t="s">
        <v>11</v>
      </c>
      <c r="E5" t="s">
        <v>15</v>
      </c>
      <c r="F5" s="2">
        <v>100</v>
      </c>
      <c r="G5" s="2">
        <f t="shared" si="0"/>
        <v>100</v>
      </c>
      <c r="H5" t="b">
        <v>1</v>
      </c>
      <c r="I5" s="2">
        <f t="shared" si="1"/>
        <v>0</v>
      </c>
    </row>
    <row r="6" spans="1:11" x14ac:dyDescent="0.3">
      <c r="A6" t="s">
        <v>18</v>
      </c>
      <c r="B6">
        <v>2</v>
      </c>
      <c r="C6" t="s">
        <v>19</v>
      </c>
      <c r="D6" t="s">
        <v>11</v>
      </c>
      <c r="E6" t="s">
        <v>15</v>
      </c>
      <c r="F6" s="2">
        <v>100</v>
      </c>
      <c r="G6" s="2">
        <f t="shared" si="0"/>
        <v>100</v>
      </c>
      <c r="H6" t="b">
        <v>0</v>
      </c>
      <c r="I6" s="2">
        <f t="shared" si="1"/>
        <v>100</v>
      </c>
    </row>
    <row r="7" spans="1:11" x14ac:dyDescent="0.3">
      <c r="A7" t="s">
        <v>20</v>
      </c>
      <c r="B7">
        <v>1</v>
      </c>
      <c r="C7" t="s">
        <v>21</v>
      </c>
      <c r="D7" t="s">
        <v>11</v>
      </c>
      <c r="E7" t="s">
        <v>15</v>
      </c>
      <c r="F7" s="2">
        <v>100</v>
      </c>
      <c r="G7" s="2">
        <f t="shared" si="0"/>
        <v>100</v>
      </c>
      <c r="H7" t="b">
        <v>0</v>
      </c>
      <c r="I7" s="2">
        <f t="shared" si="1"/>
        <v>100</v>
      </c>
    </row>
    <row r="8" spans="1:11" x14ac:dyDescent="0.3">
      <c r="A8" t="s">
        <v>22</v>
      </c>
      <c r="B8">
        <v>3</v>
      </c>
      <c r="C8" t="s">
        <v>23</v>
      </c>
      <c r="D8" t="s">
        <v>24</v>
      </c>
      <c r="E8" t="s">
        <v>25</v>
      </c>
      <c r="F8" s="2">
        <v>100</v>
      </c>
      <c r="G8" s="2">
        <f t="shared" si="0"/>
        <v>100</v>
      </c>
      <c r="H8" t="b">
        <v>0</v>
      </c>
      <c r="I8" s="2">
        <f t="shared" si="1"/>
        <v>100</v>
      </c>
    </row>
    <row r="9" spans="1:11" x14ac:dyDescent="0.3">
      <c r="A9" t="s">
        <v>26</v>
      </c>
      <c r="B9">
        <v>1</v>
      </c>
      <c r="C9" t="s">
        <v>27</v>
      </c>
      <c r="D9" t="s">
        <v>28</v>
      </c>
      <c r="E9" s="1" t="s">
        <v>179</v>
      </c>
      <c r="F9" s="2">
        <v>220</v>
      </c>
      <c r="G9" s="2">
        <f>F9*B9</f>
        <v>220</v>
      </c>
      <c r="H9" t="b">
        <v>0</v>
      </c>
      <c r="I9" s="2">
        <f t="shared" si="1"/>
        <v>220</v>
      </c>
    </row>
    <row r="10" spans="1:11" x14ac:dyDescent="0.3">
      <c r="A10" t="s">
        <v>29</v>
      </c>
      <c r="B10">
        <v>2</v>
      </c>
      <c r="C10" t="s">
        <v>23</v>
      </c>
      <c r="D10" t="s">
        <v>30</v>
      </c>
      <c r="E10" t="s">
        <v>31</v>
      </c>
      <c r="F10" s="2">
        <v>100</v>
      </c>
      <c r="G10" s="2">
        <f>F10</f>
        <v>100</v>
      </c>
      <c r="H10" t="b">
        <v>0</v>
      </c>
      <c r="I10" s="2">
        <f t="shared" si="1"/>
        <v>100</v>
      </c>
    </row>
    <row r="11" spans="1:11" x14ac:dyDescent="0.3">
      <c r="A11" t="s">
        <v>32</v>
      </c>
      <c r="B11">
        <v>39</v>
      </c>
      <c r="C11" t="s">
        <v>33</v>
      </c>
      <c r="D11" t="s">
        <v>7</v>
      </c>
      <c r="E11" t="s">
        <v>34</v>
      </c>
      <c r="F11" s="2">
        <v>100</v>
      </c>
      <c r="G11" s="2">
        <f t="shared" ref="G11:G18" si="2">F11</f>
        <v>100</v>
      </c>
      <c r="H11" t="b">
        <v>1</v>
      </c>
      <c r="I11" s="2">
        <f t="shared" si="1"/>
        <v>0</v>
      </c>
    </row>
    <row r="12" spans="1:11" x14ac:dyDescent="0.3">
      <c r="A12" t="s">
        <v>35</v>
      </c>
      <c r="B12">
        <v>2</v>
      </c>
      <c r="C12" t="s">
        <v>36</v>
      </c>
      <c r="D12" t="s">
        <v>7</v>
      </c>
      <c r="E12" t="s">
        <v>37</v>
      </c>
      <c r="F12" s="2">
        <v>100</v>
      </c>
      <c r="G12" s="2">
        <f t="shared" si="2"/>
        <v>100</v>
      </c>
      <c r="H12" t="b">
        <v>1</v>
      </c>
      <c r="I12" s="2">
        <f t="shared" si="1"/>
        <v>0</v>
      </c>
    </row>
    <row r="13" spans="1:11" x14ac:dyDescent="0.3">
      <c r="A13" t="s">
        <v>38</v>
      </c>
      <c r="B13">
        <v>1</v>
      </c>
      <c r="C13" t="s">
        <v>39</v>
      </c>
      <c r="D13" t="s">
        <v>7</v>
      </c>
      <c r="E13" t="s">
        <v>40</v>
      </c>
      <c r="F13" s="2">
        <v>100</v>
      </c>
      <c r="G13" s="2">
        <f t="shared" si="2"/>
        <v>100</v>
      </c>
      <c r="H13" t="b">
        <v>1</v>
      </c>
      <c r="I13" s="2">
        <f t="shared" si="1"/>
        <v>0</v>
      </c>
    </row>
    <row r="14" spans="1:11" x14ac:dyDescent="0.3">
      <c r="A14" t="s">
        <v>41</v>
      </c>
      <c r="B14">
        <v>4</v>
      </c>
      <c r="C14" t="s">
        <v>42</v>
      </c>
      <c r="D14" t="s">
        <v>7</v>
      </c>
      <c r="E14" t="s">
        <v>43</v>
      </c>
      <c r="F14" s="2">
        <v>100</v>
      </c>
      <c r="G14" s="2">
        <f t="shared" si="2"/>
        <v>100</v>
      </c>
      <c r="H14" t="b">
        <v>0</v>
      </c>
      <c r="I14" s="2">
        <f t="shared" si="1"/>
        <v>100</v>
      </c>
    </row>
    <row r="15" spans="1:11" x14ac:dyDescent="0.3">
      <c r="A15" t="s">
        <v>44</v>
      </c>
      <c r="B15">
        <v>1</v>
      </c>
      <c r="C15" t="s">
        <v>45</v>
      </c>
      <c r="D15" t="s">
        <v>7</v>
      </c>
      <c r="E15" t="s">
        <v>46</v>
      </c>
      <c r="F15" s="2">
        <v>100</v>
      </c>
      <c r="G15" s="2">
        <f t="shared" si="2"/>
        <v>100</v>
      </c>
      <c r="H15" t="b">
        <v>1</v>
      </c>
      <c r="I15" s="2">
        <f t="shared" si="1"/>
        <v>0</v>
      </c>
    </row>
    <row r="16" spans="1:11" x14ac:dyDescent="0.3">
      <c r="A16" t="s">
        <v>47</v>
      </c>
      <c r="B16">
        <v>8</v>
      </c>
      <c r="C16" t="s">
        <v>48</v>
      </c>
      <c r="D16" t="s">
        <v>7</v>
      </c>
      <c r="E16" t="s">
        <v>49</v>
      </c>
      <c r="F16" s="2">
        <v>100</v>
      </c>
      <c r="G16" s="2">
        <f t="shared" si="2"/>
        <v>100</v>
      </c>
      <c r="H16" t="b">
        <v>1</v>
      </c>
      <c r="I16" s="2">
        <f t="shared" si="1"/>
        <v>0</v>
      </c>
    </row>
    <row r="17" spans="1:9" x14ac:dyDescent="0.3">
      <c r="A17" t="s">
        <v>50</v>
      </c>
      <c r="B17">
        <v>1</v>
      </c>
      <c r="C17" t="s">
        <v>182</v>
      </c>
      <c r="D17" t="s">
        <v>7</v>
      </c>
      <c r="E17" t="s">
        <v>34</v>
      </c>
      <c r="F17" s="2">
        <v>100</v>
      </c>
      <c r="G17" s="2">
        <f t="shared" si="2"/>
        <v>100</v>
      </c>
      <c r="H17" t="b">
        <v>1</v>
      </c>
      <c r="I17" s="2">
        <f t="shared" si="1"/>
        <v>0</v>
      </c>
    </row>
    <row r="18" spans="1:9" x14ac:dyDescent="0.3">
      <c r="A18" t="s">
        <v>51</v>
      </c>
      <c r="B18">
        <v>1</v>
      </c>
      <c r="C18" t="s">
        <v>52</v>
      </c>
      <c r="D18" t="s">
        <v>7</v>
      </c>
      <c r="E18" t="s">
        <v>53</v>
      </c>
      <c r="F18" s="2">
        <v>100</v>
      </c>
      <c r="G18" s="2">
        <f t="shared" si="2"/>
        <v>100</v>
      </c>
      <c r="H18" t="b">
        <v>1</v>
      </c>
      <c r="I18" s="2">
        <f t="shared" si="1"/>
        <v>0</v>
      </c>
    </row>
    <row r="19" spans="1:9" x14ac:dyDescent="0.3">
      <c r="A19" t="s">
        <v>54</v>
      </c>
      <c r="B19">
        <v>2</v>
      </c>
      <c r="C19" t="s">
        <v>55</v>
      </c>
      <c r="D19" t="s">
        <v>56</v>
      </c>
      <c r="E19" s="1" t="s">
        <v>180</v>
      </c>
      <c r="F19" s="2">
        <v>586</v>
      </c>
      <c r="G19" s="2">
        <f>F19*B19</f>
        <v>1172</v>
      </c>
      <c r="H19" t="b">
        <v>0</v>
      </c>
      <c r="I19" s="2">
        <f t="shared" si="1"/>
        <v>1172</v>
      </c>
    </row>
    <row r="20" spans="1:9" x14ac:dyDescent="0.3">
      <c r="A20" t="s">
        <v>57</v>
      </c>
      <c r="B20">
        <v>1</v>
      </c>
      <c r="C20" t="s">
        <v>181</v>
      </c>
      <c r="D20" t="s">
        <v>7</v>
      </c>
      <c r="E20" t="s">
        <v>8</v>
      </c>
      <c r="F20" s="2">
        <v>100</v>
      </c>
      <c r="G20" s="2">
        <f>F20</f>
        <v>100</v>
      </c>
      <c r="H20" t="b">
        <v>0</v>
      </c>
      <c r="I20" s="2">
        <f t="shared" si="1"/>
        <v>100</v>
      </c>
    </row>
    <row r="21" spans="1:9" x14ac:dyDescent="0.3">
      <c r="A21" t="s">
        <v>58</v>
      </c>
      <c r="B21">
        <v>1</v>
      </c>
      <c r="C21" t="s">
        <v>59</v>
      </c>
      <c r="D21" t="s">
        <v>60</v>
      </c>
      <c r="E21" s="1" t="s">
        <v>183</v>
      </c>
      <c r="F21" s="2">
        <v>160</v>
      </c>
      <c r="G21" s="2">
        <f>F21*B21</f>
        <v>160</v>
      </c>
      <c r="H21" t="b">
        <v>0</v>
      </c>
      <c r="I21" s="2">
        <f t="shared" si="1"/>
        <v>160</v>
      </c>
    </row>
    <row r="22" spans="1:9" x14ac:dyDescent="0.3">
      <c r="A22" t="s">
        <v>61</v>
      </c>
      <c r="B22">
        <v>2</v>
      </c>
      <c r="C22" t="s">
        <v>62</v>
      </c>
      <c r="D22" t="s">
        <v>63</v>
      </c>
      <c r="E22" t="s">
        <v>64</v>
      </c>
      <c r="F22" s="2">
        <v>100</v>
      </c>
      <c r="G22" s="2">
        <f>F22*B22</f>
        <v>200</v>
      </c>
      <c r="H22" t="b">
        <v>0</v>
      </c>
      <c r="I22" s="2">
        <f t="shared" si="1"/>
        <v>200</v>
      </c>
    </row>
    <row r="23" spans="1:9" x14ac:dyDescent="0.3">
      <c r="A23" t="s">
        <v>65</v>
      </c>
      <c r="B23">
        <v>1</v>
      </c>
      <c r="C23" t="s">
        <v>66</v>
      </c>
      <c r="D23" t="s">
        <v>67</v>
      </c>
      <c r="E23" t="s">
        <v>68</v>
      </c>
      <c r="F23" s="2">
        <v>100</v>
      </c>
      <c r="G23" s="2">
        <f>F23*B23</f>
        <v>100</v>
      </c>
      <c r="H23" t="b">
        <v>1</v>
      </c>
      <c r="I23" s="2">
        <f t="shared" si="1"/>
        <v>0</v>
      </c>
    </row>
    <row r="24" spans="1:9" x14ac:dyDescent="0.3">
      <c r="A24" t="s">
        <v>69</v>
      </c>
      <c r="B24">
        <v>1</v>
      </c>
      <c r="C24" t="s">
        <v>70</v>
      </c>
      <c r="D24" t="s">
        <v>7</v>
      </c>
      <c r="E24" t="s">
        <v>8</v>
      </c>
      <c r="F24" s="2">
        <v>100</v>
      </c>
      <c r="G24" s="2">
        <f>F24</f>
        <v>100</v>
      </c>
      <c r="H24" t="b">
        <v>0</v>
      </c>
      <c r="I24" s="2">
        <f t="shared" si="1"/>
        <v>100</v>
      </c>
    </row>
    <row r="25" spans="1:9" x14ac:dyDescent="0.3">
      <c r="A25" t="s">
        <v>71</v>
      </c>
      <c r="B25">
        <v>1</v>
      </c>
      <c r="C25" t="s">
        <v>72</v>
      </c>
      <c r="D25" t="s">
        <v>73</v>
      </c>
      <c r="E25" t="s">
        <v>74</v>
      </c>
      <c r="F25" s="2">
        <v>2986</v>
      </c>
      <c r="G25" s="2">
        <f>F25*B25</f>
        <v>2986</v>
      </c>
      <c r="H25" t="b">
        <v>0</v>
      </c>
      <c r="I25" s="2">
        <f t="shared" si="1"/>
        <v>2986</v>
      </c>
    </row>
    <row r="26" spans="1:9" x14ac:dyDescent="0.3">
      <c r="A26" t="s">
        <v>75</v>
      </c>
      <c r="B26">
        <v>1</v>
      </c>
      <c r="C26" t="s">
        <v>76</v>
      </c>
      <c r="D26" t="s">
        <v>77</v>
      </c>
      <c r="E26" t="s">
        <v>78</v>
      </c>
      <c r="F26" s="2">
        <v>2800</v>
      </c>
      <c r="G26" s="2">
        <f>F26*B26</f>
        <v>2800</v>
      </c>
      <c r="H26" t="b">
        <v>0</v>
      </c>
      <c r="I26" s="2">
        <f t="shared" si="1"/>
        <v>2800</v>
      </c>
    </row>
    <row r="27" spans="1:9" x14ac:dyDescent="0.3">
      <c r="A27" t="s">
        <v>79</v>
      </c>
      <c r="B27">
        <v>1</v>
      </c>
      <c r="C27" t="s">
        <v>80</v>
      </c>
      <c r="D27" t="s">
        <v>81</v>
      </c>
      <c r="E27" t="s">
        <v>82</v>
      </c>
      <c r="F27" s="2">
        <v>401</v>
      </c>
      <c r="G27" s="2">
        <f t="shared" ref="G27:G61" si="3">F27*B27</f>
        <v>401</v>
      </c>
      <c r="H27" t="b">
        <v>0</v>
      </c>
      <c r="I27" s="2">
        <f t="shared" si="1"/>
        <v>401</v>
      </c>
    </row>
    <row r="28" spans="1:9" x14ac:dyDescent="0.3">
      <c r="A28" t="s">
        <v>83</v>
      </c>
      <c r="B28">
        <v>1</v>
      </c>
      <c r="C28" t="s">
        <v>84</v>
      </c>
      <c r="D28" t="s">
        <v>85</v>
      </c>
      <c r="E28" t="s">
        <v>86</v>
      </c>
      <c r="F28" s="2">
        <v>0</v>
      </c>
      <c r="G28" s="2">
        <f t="shared" si="3"/>
        <v>0</v>
      </c>
      <c r="I28" s="2">
        <f t="shared" si="1"/>
        <v>0</v>
      </c>
    </row>
    <row r="29" spans="1:9" x14ac:dyDescent="0.3">
      <c r="A29" t="s">
        <v>87</v>
      </c>
      <c r="B29">
        <v>1</v>
      </c>
      <c r="C29" t="s">
        <v>88</v>
      </c>
      <c r="D29" t="s">
        <v>89</v>
      </c>
      <c r="E29" t="s">
        <v>86</v>
      </c>
      <c r="F29" s="2">
        <v>0</v>
      </c>
      <c r="G29" s="2">
        <f t="shared" si="3"/>
        <v>0</v>
      </c>
      <c r="I29" s="2">
        <f t="shared" si="1"/>
        <v>0</v>
      </c>
    </row>
    <row r="30" spans="1:9" x14ac:dyDescent="0.3">
      <c r="A30" t="s">
        <v>90</v>
      </c>
      <c r="B30">
        <v>1</v>
      </c>
      <c r="C30" t="s">
        <v>91</v>
      </c>
      <c r="D30" t="s">
        <v>92</v>
      </c>
      <c r="E30" t="s">
        <v>86</v>
      </c>
      <c r="F30" s="2">
        <v>0</v>
      </c>
      <c r="G30" s="2">
        <f t="shared" si="3"/>
        <v>0</v>
      </c>
      <c r="I30" s="2">
        <f t="shared" si="1"/>
        <v>0</v>
      </c>
    </row>
    <row r="31" spans="1:9" x14ac:dyDescent="0.3">
      <c r="A31" t="s">
        <v>93</v>
      </c>
      <c r="B31">
        <v>1</v>
      </c>
      <c r="C31" t="s">
        <v>94</v>
      </c>
      <c r="D31" t="s">
        <v>95</v>
      </c>
      <c r="E31" t="s">
        <v>86</v>
      </c>
      <c r="F31" s="2">
        <v>0</v>
      </c>
      <c r="G31" s="2">
        <f t="shared" si="3"/>
        <v>0</v>
      </c>
      <c r="I31" s="2">
        <f t="shared" si="1"/>
        <v>0</v>
      </c>
    </row>
    <row r="32" spans="1:9" x14ac:dyDescent="0.3">
      <c r="A32" t="s">
        <v>96</v>
      </c>
      <c r="B32">
        <v>1</v>
      </c>
      <c r="C32" t="s">
        <v>97</v>
      </c>
      <c r="D32" t="s">
        <v>98</v>
      </c>
      <c r="E32" t="s">
        <v>99</v>
      </c>
      <c r="F32" s="2">
        <v>750</v>
      </c>
      <c r="G32" s="2">
        <f t="shared" si="3"/>
        <v>750</v>
      </c>
      <c r="H32" t="b">
        <v>0</v>
      </c>
      <c r="I32" s="2">
        <f t="shared" si="1"/>
        <v>750</v>
      </c>
    </row>
    <row r="33" spans="1:9" x14ac:dyDescent="0.3">
      <c r="A33" t="s">
        <v>100</v>
      </c>
      <c r="B33">
        <v>1</v>
      </c>
      <c r="C33" t="s">
        <v>101</v>
      </c>
      <c r="D33" t="s">
        <v>81</v>
      </c>
      <c r="E33" t="s">
        <v>82</v>
      </c>
      <c r="F33" s="2">
        <v>401</v>
      </c>
      <c r="G33" s="2">
        <f t="shared" si="3"/>
        <v>401</v>
      </c>
      <c r="H33" t="b">
        <v>0</v>
      </c>
      <c r="I33" s="2">
        <f t="shared" si="1"/>
        <v>401</v>
      </c>
    </row>
    <row r="34" spans="1:9" x14ac:dyDescent="0.3">
      <c r="A34" t="s">
        <v>102</v>
      </c>
      <c r="B34">
        <v>1</v>
      </c>
      <c r="C34" t="s">
        <v>103</v>
      </c>
      <c r="D34" t="s">
        <v>104</v>
      </c>
      <c r="E34" t="s">
        <v>86</v>
      </c>
      <c r="F34" s="2">
        <v>0</v>
      </c>
      <c r="G34" s="2">
        <f t="shared" si="3"/>
        <v>0</v>
      </c>
      <c r="I34" s="2">
        <f t="shared" si="1"/>
        <v>0</v>
      </c>
    </row>
    <row r="35" spans="1:9" x14ac:dyDescent="0.3">
      <c r="A35" t="s">
        <v>105</v>
      </c>
      <c r="B35">
        <v>1</v>
      </c>
      <c r="C35" t="s">
        <v>106</v>
      </c>
      <c r="D35" t="s">
        <v>98</v>
      </c>
      <c r="E35" t="s">
        <v>99</v>
      </c>
      <c r="F35" s="2">
        <v>750</v>
      </c>
      <c r="G35" s="2">
        <f t="shared" si="3"/>
        <v>750</v>
      </c>
      <c r="H35" t="b">
        <v>0</v>
      </c>
      <c r="I35" s="2">
        <f t="shared" si="1"/>
        <v>750</v>
      </c>
    </row>
    <row r="36" spans="1:9" x14ac:dyDescent="0.3">
      <c r="A36" t="s">
        <v>107</v>
      </c>
      <c r="B36">
        <v>1</v>
      </c>
      <c r="C36" t="s">
        <v>108</v>
      </c>
      <c r="D36" t="s">
        <v>81</v>
      </c>
      <c r="E36" t="s">
        <v>82</v>
      </c>
      <c r="F36" s="2">
        <v>401</v>
      </c>
      <c r="G36" s="2">
        <f t="shared" si="3"/>
        <v>401</v>
      </c>
      <c r="H36" t="b">
        <v>0</v>
      </c>
      <c r="I36" s="2">
        <f t="shared" si="1"/>
        <v>401</v>
      </c>
    </row>
    <row r="37" spans="1:9" x14ac:dyDescent="0.3">
      <c r="A37" t="s">
        <v>109</v>
      </c>
      <c r="B37">
        <v>1</v>
      </c>
      <c r="C37" t="s">
        <v>110</v>
      </c>
      <c r="D37" t="s">
        <v>111</v>
      </c>
      <c r="E37" s="1" t="s">
        <v>185</v>
      </c>
      <c r="F37" s="2">
        <v>1050</v>
      </c>
      <c r="G37" s="2">
        <f t="shared" si="3"/>
        <v>1050</v>
      </c>
      <c r="H37" t="b">
        <v>1</v>
      </c>
      <c r="I37" s="2">
        <f t="shared" si="1"/>
        <v>0</v>
      </c>
    </row>
    <row r="38" spans="1:9" x14ac:dyDescent="0.3">
      <c r="A38" t="s">
        <v>112</v>
      </c>
      <c r="B38">
        <v>1</v>
      </c>
      <c r="C38" t="s">
        <v>113</v>
      </c>
      <c r="D38" t="s">
        <v>81</v>
      </c>
      <c r="E38" t="s">
        <v>82</v>
      </c>
      <c r="F38" s="2">
        <v>401</v>
      </c>
      <c r="G38" s="2">
        <f t="shared" si="3"/>
        <v>401</v>
      </c>
      <c r="H38" t="b">
        <v>0</v>
      </c>
      <c r="I38" s="2">
        <f t="shared" si="1"/>
        <v>401</v>
      </c>
    </row>
    <row r="39" spans="1:9" x14ac:dyDescent="0.3">
      <c r="A39" t="s">
        <v>114</v>
      </c>
      <c r="B39">
        <v>1</v>
      </c>
      <c r="C39" t="s">
        <v>115</v>
      </c>
      <c r="D39" t="s">
        <v>116</v>
      </c>
      <c r="E39" s="1" t="s">
        <v>184</v>
      </c>
      <c r="F39" s="2">
        <v>550</v>
      </c>
      <c r="G39" s="2">
        <f t="shared" si="3"/>
        <v>550</v>
      </c>
      <c r="H39" t="b">
        <v>0</v>
      </c>
      <c r="I39" s="2">
        <f t="shared" si="1"/>
        <v>550</v>
      </c>
    </row>
    <row r="40" spans="1:9" x14ac:dyDescent="0.3">
      <c r="A40" t="s">
        <v>117</v>
      </c>
      <c r="B40">
        <v>3</v>
      </c>
      <c r="C40" t="s">
        <v>118</v>
      </c>
      <c r="D40" t="s">
        <v>119</v>
      </c>
      <c r="E40" s="1" t="s">
        <v>186</v>
      </c>
      <c r="F40" s="2">
        <v>100</v>
      </c>
      <c r="G40" s="2">
        <f t="shared" si="3"/>
        <v>300</v>
      </c>
      <c r="H40" t="b">
        <v>0</v>
      </c>
      <c r="I40" s="2">
        <f t="shared" si="1"/>
        <v>300</v>
      </c>
    </row>
    <row r="41" spans="1:9" x14ac:dyDescent="0.3">
      <c r="A41" t="s">
        <v>120</v>
      </c>
      <c r="B41">
        <v>1</v>
      </c>
      <c r="C41" t="s">
        <v>121</v>
      </c>
      <c r="D41" t="s">
        <v>122</v>
      </c>
      <c r="E41" s="1" t="s">
        <v>187</v>
      </c>
      <c r="F41" s="2">
        <v>30</v>
      </c>
      <c r="G41" s="2">
        <f t="shared" si="3"/>
        <v>30</v>
      </c>
      <c r="H41" t="b">
        <v>0</v>
      </c>
      <c r="I41" s="2">
        <f t="shared" si="1"/>
        <v>30</v>
      </c>
    </row>
    <row r="42" spans="1:9" x14ac:dyDescent="0.3">
      <c r="A42" t="s">
        <v>123</v>
      </c>
      <c r="B42">
        <v>2</v>
      </c>
      <c r="C42" t="s">
        <v>124</v>
      </c>
      <c r="D42" t="s">
        <v>125</v>
      </c>
      <c r="E42" s="1" t="s">
        <v>188</v>
      </c>
      <c r="F42" s="2">
        <v>481</v>
      </c>
      <c r="G42" s="2">
        <f t="shared" si="3"/>
        <v>962</v>
      </c>
      <c r="H42" t="b">
        <v>0</v>
      </c>
      <c r="I42" s="2">
        <f t="shared" si="1"/>
        <v>962</v>
      </c>
    </row>
    <row r="43" spans="1:9" x14ac:dyDescent="0.3">
      <c r="A43" t="s">
        <v>126</v>
      </c>
      <c r="B43">
        <v>2</v>
      </c>
      <c r="C43" t="s">
        <v>127</v>
      </c>
      <c r="D43" t="s">
        <v>128</v>
      </c>
      <c r="E43" t="s">
        <v>129</v>
      </c>
      <c r="F43" s="2">
        <v>100</v>
      </c>
      <c r="G43" s="2">
        <f t="shared" si="3"/>
        <v>200</v>
      </c>
      <c r="H43" t="b">
        <v>0</v>
      </c>
      <c r="I43" s="2">
        <f t="shared" si="1"/>
        <v>200</v>
      </c>
    </row>
    <row r="44" spans="1:9" x14ac:dyDescent="0.3">
      <c r="A44" t="s">
        <v>130</v>
      </c>
      <c r="B44">
        <v>2</v>
      </c>
      <c r="C44" t="s">
        <v>131</v>
      </c>
      <c r="D44" t="s">
        <v>128</v>
      </c>
      <c r="E44" t="s">
        <v>132</v>
      </c>
      <c r="F44" s="2">
        <v>100</v>
      </c>
      <c r="G44" s="2">
        <f t="shared" si="3"/>
        <v>200</v>
      </c>
      <c r="H44" t="b">
        <v>0</v>
      </c>
      <c r="I44" s="2">
        <f t="shared" si="1"/>
        <v>200</v>
      </c>
    </row>
    <row r="45" spans="1:9" x14ac:dyDescent="0.3">
      <c r="A45" t="s">
        <v>133</v>
      </c>
      <c r="B45">
        <v>15</v>
      </c>
      <c r="C45" t="s">
        <v>134</v>
      </c>
      <c r="D45" t="s">
        <v>128</v>
      </c>
      <c r="E45" t="s">
        <v>135</v>
      </c>
      <c r="F45" s="2">
        <v>100</v>
      </c>
      <c r="G45" s="2">
        <f>F45</f>
        <v>100</v>
      </c>
      <c r="H45" t="b">
        <v>0</v>
      </c>
      <c r="I45" s="2">
        <f t="shared" si="1"/>
        <v>100</v>
      </c>
    </row>
    <row r="46" spans="1:9" x14ac:dyDescent="0.3">
      <c r="A46" t="s">
        <v>136</v>
      </c>
      <c r="B46">
        <v>2</v>
      </c>
      <c r="C46" t="s">
        <v>137</v>
      </c>
      <c r="D46" t="s">
        <v>128</v>
      </c>
      <c r="E46" t="s">
        <v>138</v>
      </c>
      <c r="F46" s="2">
        <v>100</v>
      </c>
      <c r="G46" s="2">
        <f t="shared" si="3"/>
        <v>200</v>
      </c>
      <c r="H46" t="b">
        <v>0</v>
      </c>
      <c r="I46" s="2">
        <f t="shared" si="1"/>
        <v>200</v>
      </c>
    </row>
    <row r="47" spans="1:9" x14ac:dyDescent="0.3">
      <c r="A47" t="s">
        <v>139</v>
      </c>
      <c r="B47">
        <v>1</v>
      </c>
      <c r="C47" t="s">
        <v>140</v>
      </c>
      <c r="D47" t="s">
        <v>128</v>
      </c>
      <c r="E47" t="s">
        <v>141</v>
      </c>
      <c r="F47" s="2">
        <v>100</v>
      </c>
      <c r="G47" s="2">
        <f t="shared" si="3"/>
        <v>100</v>
      </c>
      <c r="H47" t="b">
        <v>0</v>
      </c>
      <c r="I47" s="2">
        <f t="shared" si="1"/>
        <v>100</v>
      </c>
    </row>
    <row r="48" spans="1:9" x14ac:dyDescent="0.3">
      <c r="A48" t="s">
        <v>142</v>
      </c>
      <c r="B48">
        <v>1</v>
      </c>
      <c r="C48" t="s">
        <v>143</v>
      </c>
      <c r="D48" t="s">
        <v>144</v>
      </c>
      <c r="E48" s="1" t="s">
        <v>189</v>
      </c>
      <c r="F48" s="2">
        <v>110</v>
      </c>
      <c r="G48" s="2">
        <f t="shared" si="3"/>
        <v>110</v>
      </c>
      <c r="H48" t="b">
        <v>1</v>
      </c>
      <c r="I48" s="2">
        <f t="shared" si="1"/>
        <v>0</v>
      </c>
    </row>
    <row r="49" spans="1:9" x14ac:dyDescent="0.3">
      <c r="A49" t="s">
        <v>145</v>
      </c>
      <c r="B49">
        <v>1</v>
      </c>
      <c r="C49" t="s">
        <v>146</v>
      </c>
      <c r="D49" t="s">
        <v>147</v>
      </c>
      <c r="E49" s="1" t="s">
        <v>190</v>
      </c>
      <c r="F49" s="2">
        <v>50</v>
      </c>
      <c r="G49" s="2">
        <f t="shared" si="3"/>
        <v>50</v>
      </c>
      <c r="H49" t="b">
        <v>1</v>
      </c>
      <c r="I49" s="2">
        <f t="shared" si="1"/>
        <v>0</v>
      </c>
    </row>
    <row r="50" spans="1:9" x14ac:dyDescent="0.3">
      <c r="A50" t="s">
        <v>148</v>
      </c>
      <c r="B50">
        <v>3</v>
      </c>
      <c r="C50" t="s">
        <v>149</v>
      </c>
      <c r="D50" t="s">
        <v>150</v>
      </c>
      <c r="E50" s="1" t="s">
        <v>191</v>
      </c>
      <c r="F50" s="2">
        <v>100</v>
      </c>
      <c r="G50" s="2">
        <f>F50</f>
        <v>100</v>
      </c>
      <c r="H50" t="b">
        <v>1</v>
      </c>
      <c r="I50" s="2">
        <f t="shared" si="1"/>
        <v>0</v>
      </c>
    </row>
    <row r="51" spans="1:9" x14ac:dyDescent="0.3">
      <c r="A51" t="s">
        <v>151</v>
      </c>
      <c r="B51">
        <v>14</v>
      </c>
      <c r="C51" t="s">
        <v>149</v>
      </c>
      <c r="D51" t="s">
        <v>152</v>
      </c>
      <c r="E51" s="1" t="s">
        <v>199</v>
      </c>
      <c r="F51" s="2">
        <v>25</v>
      </c>
      <c r="G51" s="2">
        <f>F51</f>
        <v>25</v>
      </c>
      <c r="H51" t="b">
        <v>0</v>
      </c>
      <c r="I51" s="2">
        <f t="shared" si="1"/>
        <v>25</v>
      </c>
    </row>
    <row r="52" spans="1:9" x14ac:dyDescent="0.3">
      <c r="A52" t="s">
        <v>153</v>
      </c>
      <c r="B52">
        <v>2</v>
      </c>
      <c r="C52" t="s">
        <v>154</v>
      </c>
      <c r="D52" t="s">
        <v>147</v>
      </c>
      <c r="E52" s="1" t="s">
        <v>192</v>
      </c>
      <c r="F52" s="2">
        <v>60</v>
      </c>
      <c r="G52" s="2">
        <f t="shared" si="3"/>
        <v>120</v>
      </c>
      <c r="H52" t="b">
        <v>0</v>
      </c>
      <c r="I52" s="2">
        <f t="shared" si="1"/>
        <v>120</v>
      </c>
    </row>
    <row r="53" spans="1:9" x14ac:dyDescent="0.3">
      <c r="A53" t="s">
        <v>155</v>
      </c>
      <c r="B53">
        <v>1</v>
      </c>
      <c r="C53" t="s">
        <v>156</v>
      </c>
      <c r="D53" t="s">
        <v>81</v>
      </c>
      <c r="E53" s="1" t="s">
        <v>193</v>
      </c>
      <c r="F53" s="2">
        <v>401</v>
      </c>
      <c r="G53" s="2">
        <f t="shared" si="3"/>
        <v>401</v>
      </c>
      <c r="H53" t="b">
        <v>0</v>
      </c>
      <c r="I53" s="2">
        <f t="shared" si="1"/>
        <v>401</v>
      </c>
    </row>
    <row r="54" spans="1:9" x14ac:dyDescent="0.3">
      <c r="A54" t="s">
        <v>157</v>
      </c>
      <c r="B54">
        <v>1</v>
      </c>
      <c r="C54" t="s">
        <v>158</v>
      </c>
      <c r="D54" t="s">
        <v>159</v>
      </c>
      <c r="E54" s="1" t="s">
        <v>194</v>
      </c>
      <c r="F54" s="2">
        <v>30</v>
      </c>
      <c r="G54" s="2">
        <f t="shared" si="3"/>
        <v>30</v>
      </c>
      <c r="H54" t="b">
        <v>1</v>
      </c>
      <c r="I54" s="2">
        <f t="shared" si="1"/>
        <v>0</v>
      </c>
    </row>
    <row r="55" spans="1:9" x14ac:dyDescent="0.3">
      <c r="A55" t="s">
        <v>161</v>
      </c>
      <c r="B55">
        <v>1</v>
      </c>
      <c r="C55" t="s">
        <v>162</v>
      </c>
      <c r="D55" t="s">
        <v>159</v>
      </c>
      <c r="E55" t="s">
        <v>160</v>
      </c>
      <c r="F55" s="2">
        <v>30</v>
      </c>
      <c r="G55" s="2">
        <f t="shared" si="3"/>
        <v>30</v>
      </c>
      <c r="H55" t="b">
        <v>1</v>
      </c>
      <c r="I55" s="2">
        <f t="shared" si="1"/>
        <v>0</v>
      </c>
    </row>
    <row r="56" spans="1:9" x14ac:dyDescent="0.3">
      <c r="A56" t="s">
        <v>163</v>
      </c>
      <c r="B56">
        <v>1</v>
      </c>
      <c r="C56" t="s">
        <v>164</v>
      </c>
      <c r="D56" t="s">
        <v>159</v>
      </c>
      <c r="E56" t="s">
        <v>160</v>
      </c>
      <c r="F56" s="2">
        <v>30</v>
      </c>
      <c r="G56" s="2">
        <f t="shared" si="3"/>
        <v>30</v>
      </c>
      <c r="H56" t="b">
        <v>1</v>
      </c>
      <c r="I56" s="2">
        <f t="shared" si="1"/>
        <v>0</v>
      </c>
    </row>
    <row r="57" spans="1:9" x14ac:dyDescent="0.3">
      <c r="A57" t="s">
        <v>165</v>
      </c>
      <c r="B57">
        <v>1</v>
      </c>
      <c r="C57" t="s">
        <v>166</v>
      </c>
      <c r="D57" t="s">
        <v>159</v>
      </c>
      <c r="E57" t="s">
        <v>160</v>
      </c>
      <c r="F57" s="2">
        <v>30</v>
      </c>
      <c r="G57" s="2">
        <f t="shared" si="3"/>
        <v>30</v>
      </c>
      <c r="H57" t="b">
        <v>1</v>
      </c>
      <c r="I57" s="2">
        <f t="shared" si="1"/>
        <v>0</v>
      </c>
    </row>
    <row r="58" spans="1:9" x14ac:dyDescent="0.3">
      <c r="A58" t="s">
        <v>167</v>
      </c>
      <c r="B58">
        <v>1</v>
      </c>
      <c r="C58" t="s">
        <v>168</v>
      </c>
      <c r="D58" t="s">
        <v>169</v>
      </c>
      <c r="E58" s="1" t="s">
        <v>195</v>
      </c>
      <c r="F58" s="2">
        <v>149</v>
      </c>
      <c r="G58" s="2">
        <f t="shared" si="3"/>
        <v>149</v>
      </c>
      <c r="H58" t="b">
        <v>0</v>
      </c>
      <c r="I58" s="2">
        <f t="shared" si="1"/>
        <v>149</v>
      </c>
    </row>
    <row r="59" spans="1:9" x14ac:dyDescent="0.3">
      <c r="A59" t="s">
        <v>170</v>
      </c>
      <c r="B59">
        <v>2</v>
      </c>
      <c r="C59" t="s">
        <v>171</v>
      </c>
      <c r="D59" t="s">
        <v>11</v>
      </c>
      <c r="E59" t="s">
        <v>86</v>
      </c>
      <c r="F59" s="2">
        <v>0</v>
      </c>
      <c r="G59" s="2">
        <f t="shared" si="3"/>
        <v>0</v>
      </c>
      <c r="H59" t="b">
        <v>1</v>
      </c>
      <c r="I59" s="2">
        <f t="shared" si="1"/>
        <v>0</v>
      </c>
    </row>
    <row r="60" spans="1:9" x14ac:dyDescent="0.3">
      <c r="A60" t="s">
        <v>172</v>
      </c>
      <c r="B60">
        <v>1</v>
      </c>
      <c r="C60" t="s">
        <v>173</v>
      </c>
      <c r="D60" t="s">
        <v>174</v>
      </c>
      <c r="E60" s="1" t="s">
        <v>197</v>
      </c>
      <c r="F60" s="2">
        <v>110</v>
      </c>
      <c r="G60" s="2">
        <f t="shared" si="3"/>
        <v>110</v>
      </c>
      <c r="H60" t="b">
        <v>0</v>
      </c>
      <c r="I60" s="2">
        <f t="shared" si="1"/>
        <v>110</v>
      </c>
    </row>
    <row r="61" spans="1:9" x14ac:dyDescent="0.3">
      <c r="A61" t="s">
        <v>175</v>
      </c>
      <c r="B61">
        <v>1</v>
      </c>
      <c r="C61" t="s">
        <v>198</v>
      </c>
      <c r="D61" t="s">
        <v>176</v>
      </c>
      <c r="E61" s="1" t="s">
        <v>196</v>
      </c>
      <c r="F61" s="2">
        <v>60</v>
      </c>
      <c r="G61" s="2">
        <f t="shared" si="3"/>
        <v>60</v>
      </c>
      <c r="H61" t="b">
        <v>0</v>
      </c>
      <c r="I61" s="2">
        <f t="shared" si="1"/>
        <v>60</v>
      </c>
    </row>
  </sheetData>
  <phoneticPr fontId="18"/>
  <dataValidations count="1">
    <dataValidation type="list" allowBlank="1" showInputMessage="1" showErrorMessage="1" sqref="H2:H61" xr:uid="{7EB1AC05-8B8A-4291-93B5-D00C194BAB7A}">
      <formula1>$K$1:$K$2</formula1>
    </dataValidation>
  </dataValidations>
  <hyperlinks>
    <hyperlink ref="E9" r:id="rId1" xr:uid="{A4C6D436-D01B-40B6-8DBC-963017FC2F78}"/>
    <hyperlink ref="E19" r:id="rId2" xr:uid="{956CC0F0-6B7E-4F24-BF0D-F306ABEA5DF8}"/>
    <hyperlink ref="E21" r:id="rId3" xr:uid="{A495E207-CBCA-4496-AA60-285971C1C563}"/>
    <hyperlink ref="E39" r:id="rId4" xr:uid="{549C3551-2D82-4327-8F09-D5FFCD9DC721}"/>
    <hyperlink ref="E37" r:id="rId5" xr:uid="{72F85BA3-AD19-4528-A52B-F414AD495481}"/>
    <hyperlink ref="E40" r:id="rId6" xr:uid="{A5FA6000-9949-4B87-A15D-F3C883328369}"/>
    <hyperlink ref="E41" r:id="rId7" xr:uid="{EB5368A3-DD81-4904-BCBE-B2F6F3A3AA81}"/>
    <hyperlink ref="E42" r:id="rId8" xr:uid="{F613ABF7-6238-4734-B057-F0B9F1C436F0}"/>
    <hyperlink ref="E48" r:id="rId9" xr:uid="{EF4525DC-7107-455A-B814-025C215AFE54}"/>
    <hyperlink ref="E49" r:id="rId10" xr:uid="{732F6241-23B9-4F10-BA73-742815C8834D}"/>
    <hyperlink ref="E50" r:id="rId11" xr:uid="{C1BFC73A-017C-417A-8AF3-97375979CCAF}"/>
    <hyperlink ref="E52" r:id="rId12" xr:uid="{90EACEF7-B00D-4C8C-A8F3-3D2334796288}"/>
    <hyperlink ref="E53" r:id="rId13" xr:uid="{92A10E0E-E3F3-4BED-97E8-C527E6EFAAD4}"/>
    <hyperlink ref="E54" r:id="rId14" xr:uid="{3A6F2031-123B-4936-8535-EC5E9FF55ABE}"/>
    <hyperlink ref="E58" r:id="rId15" xr:uid="{619AF2ED-FD1D-4D66-AD34-EB036CD0B659}"/>
    <hyperlink ref="E60" r:id="rId16" xr:uid="{826C1B65-3DAD-4A62-B0A2-762D75C13A5F}"/>
    <hyperlink ref="E61" r:id="rId17" xr:uid="{B0649BAA-9634-4194-977B-F66266566BF7}"/>
    <hyperlink ref="E51" r:id="rId18" xr:uid="{52103FF4-B3DE-412C-A305-8780EE40C9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LaunchController2.0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Tsutsumi</dc:creator>
  <cp:lastModifiedBy>5CEMM058</cp:lastModifiedBy>
  <dcterms:created xsi:type="dcterms:W3CDTF">2026-04-05T21:46:22Z</dcterms:created>
  <dcterms:modified xsi:type="dcterms:W3CDTF">2026-04-11T09:54:24Z</dcterms:modified>
</cp:coreProperties>
</file>