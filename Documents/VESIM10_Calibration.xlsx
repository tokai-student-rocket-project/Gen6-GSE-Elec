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Gen6-GSE-Elec\Documents\"/>
    </mc:Choice>
  </mc:AlternateContent>
  <xr:revisionPtr revIDLastSave="0" documentId="13_ncr:1_{87BE873A-058C-40C3-8721-F7E5E0F073E3}" xr6:coauthVersionLast="47" xr6:coauthVersionMax="47" xr10:uidLastSave="{00000000-0000-0000-0000-000000000000}"/>
  <bookViews>
    <workbookView xWindow="33480" yWindow="3330" windowWidth="29040" windowHeight="15720" xr2:uid="{05A9803B-A475-4F64-B104-4781DCC4642F}"/>
  </bookViews>
  <sheets>
    <sheet name="20260221_1" sheetId="1" r:id="rId1"/>
    <sheet name="テンプレート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<sst xmlns="http://schemas.openxmlformats.org/spreadsheetml/2006/main" count="18" uniqueCount="10">
  <si>
    <t>試験日</t>
    <rPh sb="0" eb="3">
      <t>シケンビ</t>
    </rPh>
    <phoneticPr fontId="1"/>
  </si>
  <si>
    <t>使用した高圧ガス</t>
    <rPh sb="0" eb="2">
      <t>シヨウ</t>
    </rPh>
    <rPh sb="4" eb="6">
      <t>コウアツ</t>
    </rPh>
    <phoneticPr fontId="1"/>
  </si>
  <si>
    <t xml:space="preserve">窒素 </t>
    <rPh sb="0" eb="2">
      <t>チッソ</t>
    </rPh>
    <phoneticPr fontId="1"/>
  </si>
  <si>
    <t>酸素</t>
    <rPh sb="0" eb="2">
      <t>サンソ</t>
    </rPh>
    <phoneticPr fontId="1"/>
  </si>
  <si>
    <t>亜酸化窒素</t>
    <rPh sb="0" eb="5">
      <t>アサンカチッソ</t>
    </rPh>
    <phoneticPr fontId="1"/>
  </si>
  <si>
    <t>電流 [mA]</t>
    <rPh sb="0" eb="2">
      <t>デンリュウ</t>
    </rPh>
    <phoneticPr fontId="1"/>
  </si>
  <si>
    <t>No.</t>
    <phoneticPr fontId="1"/>
  </si>
  <si>
    <t>マスタ圧力計 [MPa]</t>
    <rPh sb="3" eb="6">
      <t>アツリョクケイ</t>
    </rPh>
    <phoneticPr fontId="1"/>
  </si>
  <si>
    <t>CALIB_SLOP_A</t>
    <phoneticPr fontId="1"/>
  </si>
  <si>
    <t>代入→</t>
    <rPh sb="0" eb="2">
      <t>ダイニュウ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</si>
</sst>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5" formatCode="0.0000"/>
  </numFmts>
  <fonts count="5" x14ac:knownFonts="1">
    <font>
      <sz val="11"/>
      <color theme="1"/>
      <name val="Moralerspace Neon JPDOC"/>
      <family val="2"/>
      <charset val="128"/>
    </font>
    <font>
      <sz val="6"/>
      <name val="Moralerspace Neon JPDOC"/>
      <family val="2"/>
      <charset val="128"/>
    </font>
    <font>
      <sz val="11"/>
      <color theme="0" tint="-0.34998626667073579"/>
      <name val="Moralerspace Neon JPDOC"/>
      <family val="3"/>
      <charset val="128"/>
    </font>
    <font>
      <sz val="11"/>
      <color theme="1"/>
      <name val="Moralerspace Neon JPDOC"/>
      <family val="3"/>
      <charset val="128"/>
    </font>
    <font>
      <b/>
      <sz val="11"/>
      <color theme="1"/>
      <name val="Moralerspace Neon JPDO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85" fontId="4" fillId="0" borderId="0" xfId="0" applyNumberFormat="1" applyFont="1">
      <alignment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6527D2B3-BDA0-46D5-B1F4-22F23125FA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r>
              <a:rPr lang="en-US"/>
              <a:t>VESIM10 </a:t>
            </a:r>
            <a:r>
              <a:rPr lang="ja-JP"/>
              <a:t>公正グラフ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ralerspace Neon JPDOC" panose="020B0503020203020207" pitchFamily="50" charset="-128"/>
              <a:ea typeface="Moralerspace Neon JPDOC" panose="020B0503020203020207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'20260221_1'!$C$3</c:f>
              <c:strCache>
                <c:ptCount val="1"/>
                <c:pt idx="0">
                  <c:v>マスタ圧力計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ralerspace Neon JPDOC" panose="020B0503020203020207" pitchFamily="50" charset="-128"/>
                      <a:ea typeface="Moralerspace Neon JPDOC" panose="020B0503020203020207" pitchFamily="50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'20260221_1'!$B$4:$B$9</c:f>
              <c:numCache>
                <c:formatCode>General</c:formatCode>
                <c:ptCount val="6"/>
                <c:pt idx="0">
                  <c:v>4.08</c:v>
                </c:pt>
                <c:pt idx="1">
                  <c:v>7.25</c:v>
                </c:pt>
                <c:pt idx="2">
                  <c:v>10.42</c:v>
                </c:pt>
                <c:pt idx="3">
                  <c:v>13.58</c:v>
                </c:pt>
                <c:pt idx="4">
                  <c:v>16.739999999999998</c:v>
                </c:pt>
                <c:pt idx="5">
                  <c:v>19.91</c:v>
                </c:pt>
              </c:numCache>
            </c:numRef>
          </c:xVal>
          <c:yVal>
            <c:numRef>
              <c:f>'20260221_1'!$C$4:$C$9</c:f>
              <c:numCache>
                <c:formatCode>General</c:formatCode>
                <c:ptCount val="6"/>
                <c:pt idx="0">
                  <c:v>0</c:v>
                </c:pt>
                <c:pt idx="1">
                  <c:v>2.1</c:v>
                </c:pt>
                <c:pt idx="2">
                  <c:v>4.2</c:v>
                </c:pt>
                <c:pt idx="3">
                  <c:v>5.8</c:v>
                </c:pt>
                <c:pt idx="4">
                  <c:v>8.1999999999999993</c:v>
                </c:pt>
                <c:pt idx="5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E1-4D9B-AE75-5E51225A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30575"/>
        <c:axId val="1514231055"/>
      </c:scatterChart>
      <c:valAx>
        <c:axId val="15142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1055"/>
        <c:crosses val="autoZero"/>
        <c:crossBetween val="midCat"/>
      </c:valAx>
      <c:valAx>
        <c:axId val="15142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マスタ圧力 </a:t>
                </a:r>
                <a:r>
                  <a:rPr lang="en-US" altLang="ja-JP"/>
                  <a:t>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alerspace Neon JPDOC" panose="020B0503020203020207" pitchFamily="50" charset="-128"/>
          <a:ea typeface="Moralerspace Neon JPDOC" panose="020B0503020203020207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r>
              <a:rPr lang="en-US"/>
              <a:t>VESIM10 </a:t>
            </a:r>
            <a:r>
              <a:rPr lang="ja-JP"/>
              <a:t>公正グラフ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ralerspace Neon JPDOC" panose="020B0503020203020207" pitchFamily="50" charset="-128"/>
              <a:ea typeface="Moralerspace Neon JPDOC" panose="020B0503020203020207" pitchFamily="50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テンプレート!$C$3</c:f>
              <c:strCache>
                <c:ptCount val="1"/>
                <c:pt idx="0">
                  <c:v>マスタ圧力計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ralerspace Neon JPDOC" panose="020B0503020203020207" pitchFamily="50" charset="-128"/>
                      <a:ea typeface="Moralerspace Neon JPDOC" panose="020B0503020203020207" pitchFamily="50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テンプレート!$B$4:$B$9</c:f>
              <c:numCache>
                <c:formatCode>General</c:formatCode>
                <c:ptCount val="6"/>
                <c:pt idx="0">
                  <c:v>4.08</c:v>
                </c:pt>
                <c:pt idx="1">
                  <c:v>7.25</c:v>
                </c:pt>
                <c:pt idx="2">
                  <c:v>10.42</c:v>
                </c:pt>
                <c:pt idx="3">
                  <c:v>13.58</c:v>
                </c:pt>
                <c:pt idx="4">
                  <c:v>16.739999999999998</c:v>
                </c:pt>
                <c:pt idx="5">
                  <c:v>19.91</c:v>
                </c:pt>
              </c:numCache>
            </c:numRef>
          </c:xVal>
          <c:yVal>
            <c:numRef>
              <c:f>テンプレート!$C$4:$C$9</c:f>
              <c:numCache>
                <c:formatCode>General</c:formatCode>
                <c:ptCount val="6"/>
                <c:pt idx="0">
                  <c:v>0</c:v>
                </c:pt>
                <c:pt idx="1">
                  <c:v>2.1</c:v>
                </c:pt>
                <c:pt idx="2">
                  <c:v>4.2</c:v>
                </c:pt>
                <c:pt idx="3">
                  <c:v>5.8</c:v>
                </c:pt>
                <c:pt idx="4">
                  <c:v>8.1999999999999993</c:v>
                </c:pt>
                <c:pt idx="5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8D-4D7A-B305-E027B06C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30575"/>
        <c:axId val="1514231055"/>
      </c:scatterChart>
      <c:valAx>
        <c:axId val="15142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1055"/>
        <c:crosses val="autoZero"/>
        <c:crossBetween val="midCat"/>
      </c:valAx>
      <c:valAx>
        <c:axId val="15142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マスタ圧力 </a:t>
                </a:r>
                <a:r>
                  <a:rPr lang="en-US" altLang="ja-JP"/>
                  <a:t>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alerspace Neon JPDOC" panose="020B0503020203020207" pitchFamily="50" charset="-128"/>
          <a:ea typeface="Moralerspace Neon JPDOC" panose="020B0503020203020207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147669</xdr:colOff>
      <xdr:row>2</xdr:row>
      <xdr:rowOff>2497</xdr:rowOff>
    </xdr:from>
    <xdr:to>
      <xdr:col>6</xdr:col>
      <xdr:colOff>369766</xdr:colOff>
      <xdr:row>16</xdr:row>
      <xdr:rowOff>124810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859114-E847-1A58-DA32-DCDAA6873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401100</xdr:colOff>
      <xdr:row>1</xdr:row>
      <xdr:rowOff>169480</xdr:rowOff>
    </xdr:from>
    <xdr:to>
      <xdr:col>6</xdr:col>
      <xdr:colOff>617482</xdr:colOff>
      <xdr:row>16</xdr:row>
      <xdr:rowOff>111672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5BE3B5E-37B0-4317-B48C-8073BE106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504-CE38-4303-A560-14B7652FB1C2}">
  <dimension ref="A1:O11"/>
  <sheetViews>
    <sheetView tabSelected="1" zoomScale="145" zoomScaleNormal="145" workbookViewId="0">
      <selection activeCell="G19" sqref="G19"/>
    </sheetView>
  </sheetViews>
  <sheetFormatPr defaultRowHeight="14.4" x14ac:dyDescent="0.3"/>
  <cols>
    <col min="1" max="1" width="8.7265625" style="2"/>
    <col min="2" max="2" width="14.7265625" style="2" customWidth="1"/>
    <col min="3" max="3" width="17.81640625" style="2" customWidth="1"/>
    <col min="4" max="4" width="18.08984375" style="2" customWidth="1"/>
    <col min="5" max="14" width="8.7265625" style="2"/>
    <col min="15" max="15" width="8.7265625" style="1"/>
    <col min="16" max="16384" width="8.7265625" style="2"/>
  </cols>
  <sheetData>
    <row r="1" spans="1:15" x14ac:dyDescent="0.3">
      <c r="A1" s="4" t="s">
        <v>0</v>
      </c>
      <c r="B1" s="4"/>
      <c r="C1" s="4" t="s">
        <v>1</v>
      </c>
      <c r="D1" s="4"/>
      <c r="O1" s="1" t="s">
        <v>2</v>
      </c>
    </row>
    <row r="2" spans="1:15" x14ac:dyDescent="0.3">
      <c r="O2" s="1" t="s">
        <v>3</v>
      </c>
    </row>
    <row r="3" spans="1:15" x14ac:dyDescent="0.3">
      <c r="A3" s="5" t="s">
        <v>6</v>
      </c>
      <c r="B3" s="5" t="s">
        <v>5</v>
      </c>
      <c r="C3" s="5" t="s">
        <v>7</v>
      </c>
      <c r="D3" s="3"/>
      <c r="O3" s="1" t="s">
        <v>4</v>
      </c>
    </row>
    <row r="4" spans="1:15" x14ac:dyDescent="0.3">
      <c r="A4" s="4">
        <v>1</v>
      </c>
      <c r="B4" s="4">
        <v>4.08</v>
      </c>
      <c r="C4" s="4">
        <v>0</v>
      </c>
    </row>
    <row r="5" spans="1:15" x14ac:dyDescent="0.3">
      <c r="A5" s="4">
        <v>2</v>
      </c>
      <c r="B5" s="4">
        <v>7.25</v>
      </c>
      <c r="C5" s="4">
        <v>2.1</v>
      </c>
    </row>
    <row r="6" spans="1:15" x14ac:dyDescent="0.3">
      <c r="A6" s="4">
        <v>3</v>
      </c>
      <c r="B6" s="4">
        <v>10.42</v>
      </c>
      <c r="C6" s="4">
        <v>4.2</v>
      </c>
    </row>
    <row r="7" spans="1:15" x14ac:dyDescent="0.3">
      <c r="A7" s="4">
        <v>4</v>
      </c>
      <c r="B7" s="4">
        <v>13.58</v>
      </c>
      <c r="C7" s="4">
        <v>5.8</v>
      </c>
    </row>
    <row r="8" spans="1:15" x14ac:dyDescent="0.3">
      <c r="A8" s="4">
        <v>5</v>
      </c>
      <c r="B8" s="4">
        <v>16.739999999999998</v>
      </c>
      <c r="C8" s="4">
        <v>8.1999999999999993</v>
      </c>
    </row>
    <row r="9" spans="1:15" x14ac:dyDescent="0.3">
      <c r="A9" s="4">
        <v>6</v>
      </c>
      <c r="B9" s="4">
        <v>19.91</v>
      </c>
      <c r="C9" s="4">
        <v>9.9</v>
      </c>
    </row>
    <row r="11" spans="1:15" x14ac:dyDescent="0.3">
      <c r="A11" s="2" t="s">
        <v>9</v>
      </c>
      <c r="B11" s="6" t="s">
        <v>8</v>
      </c>
      <c r="C11" s="7">
        <f>SLOPE(C4:C9,B4:B9)</f>
        <v>0.62646781455341927</v>
      </c>
    </row>
  </sheetData>
  <phoneticPr fontId="1"/>
  <dataValidations count="1">
    <dataValidation type="list" allowBlank="1" showInputMessage="1" showErrorMessage="1" sqref="D1" xr:uid="{4007C36E-A77C-45ED-B8F2-7CF02FA2172E}">
      <formula1>$O$1:$O$3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06D6-57BD-4614-878C-5CDEC0D0A417}">
  <dimension ref="A1:O9"/>
  <sheetViews>
    <sheetView zoomScale="145" zoomScaleNormal="145" workbookViewId="0">
      <selection activeCell="C16" sqref="C16"/>
    </sheetView>
  </sheetViews>
  <sheetFormatPr defaultRowHeight="14.4" x14ac:dyDescent="0.3"/>
  <cols>
    <col min="1" max="1" width="8.7265625" style="2"/>
    <col min="2" max="2" width="14.7265625" style="2" customWidth="1"/>
    <col min="3" max="3" width="17.81640625" style="2" customWidth="1"/>
    <col min="4" max="4" width="18.08984375" style="2" customWidth="1"/>
    <col min="5" max="14" width="8.7265625" style="2"/>
    <col min="15" max="15" width="8.7265625" style="1"/>
    <col min="16" max="16384" width="8.7265625" style="2"/>
  </cols>
  <sheetData>
    <row r="1" spans="1:15" x14ac:dyDescent="0.3">
      <c r="A1" s="2" t="s">
        <v>0</v>
      </c>
      <c r="C1" s="2" t="s">
        <v>1</v>
      </c>
      <c r="O1" s="1" t="s">
        <v>2</v>
      </c>
    </row>
    <row r="2" spans="1:15" x14ac:dyDescent="0.3">
      <c r="O2" s="1" t="s">
        <v>3</v>
      </c>
    </row>
    <row r="3" spans="1:15" x14ac:dyDescent="0.3">
      <c r="A3" s="3" t="s">
        <v>6</v>
      </c>
      <c r="B3" s="3" t="s">
        <v>5</v>
      </c>
      <c r="C3" s="3" t="s">
        <v>7</v>
      </c>
      <c r="D3" s="3"/>
      <c r="O3" s="1" t="s">
        <v>4</v>
      </c>
    </row>
    <row r="4" spans="1:15" x14ac:dyDescent="0.3">
      <c r="A4" s="2">
        <v>1</v>
      </c>
      <c r="B4" s="2">
        <v>4.08</v>
      </c>
      <c r="C4" s="2">
        <v>0</v>
      </c>
    </row>
    <row r="5" spans="1:15" x14ac:dyDescent="0.3">
      <c r="A5" s="2">
        <v>2</v>
      </c>
      <c r="B5" s="2">
        <v>7.25</v>
      </c>
      <c r="C5" s="2">
        <v>2.1</v>
      </c>
    </row>
    <row r="6" spans="1:15" x14ac:dyDescent="0.3">
      <c r="A6" s="2">
        <v>3</v>
      </c>
      <c r="B6" s="2">
        <v>10.42</v>
      </c>
      <c r="C6" s="2">
        <v>4.2</v>
      </c>
    </row>
    <row r="7" spans="1:15" x14ac:dyDescent="0.3">
      <c r="A7" s="2">
        <v>4</v>
      </c>
      <c r="B7" s="2">
        <v>13.58</v>
      </c>
      <c r="C7" s="2">
        <v>5.8</v>
      </c>
    </row>
    <row r="8" spans="1:15" x14ac:dyDescent="0.3">
      <c r="A8" s="2">
        <v>5</v>
      </c>
      <c r="B8" s="2">
        <v>16.739999999999998</v>
      </c>
      <c r="C8" s="2">
        <v>8.1999999999999993</v>
      </c>
    </row>
    <row r="9" spans="1:15" x14ac:dyDescent="0.3">
      <c r="A9" s="2">
        <v>6</v>
      </c>
      <c r="B9" s="2">
        <v>19.91</v>
      </c>
      <c r="C9" s="2">
        <v>9.9</v>
      </c>
    </row>
  </sheetData>
  <phoneticPr fontId="1"/>
  <dataValidations count="1">
    <dataValidation type="list" allowBlank="1" showInputMessage="1" showErrorMessage="1" sqref="D1" xr:uid="{CFA3A91B-39FB-4CBE-B656-6F172A3E63A1}">
      <formula1>$O$1:$O$3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20260221_1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5CEMM058</dc:creator>
  <cp:lastModifiedBy>5CEMM058</cp:lastModifiedBy>
  <dcterms:created xsi:type="dcterms:W3CDTF">2026-02-16T13:54:21Z</dcterms:created>
  <dcterms:modified xsi:type="dcterms:W3CDTF">2026-02-16T15:47:26Z</dcterms:modified>
</cp:coreProperties>
</file>