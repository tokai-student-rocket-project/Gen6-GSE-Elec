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Gen6-GSE-Elec\Documents\"/>
    </mc:Choice>
  </mc:AlternateContent>
  <xr:revisionPtr revIDLastSave="0" documentId="13_ncr:1_{A0D056F4-E7DF-42D9-98D3-6B1B9856C0A7}" xr6:coauthVersionLast="47" xr6:coauthVersionMax="47" xr10:uidLastSave="{00000000-0000-0000-0000-000000000000}"/>
  <bookViews>
    <workbookView xWindow="13344" yWindow="0" windowWidth="13632" windowHeight="16176" xr2:uid="{05A9803B-A475-4F64-B104-4781DCC4642F}"/>
  </bookViews>
  <sheets>
    <sheet name="20260221_1" sheetId="1" r:id="rId1"/>
    <sheet name="試験成績表" sheetId="4" r:id="rId2"/>
    <sheet name="テンプレー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C12" i="1"/>
  <c r="C11" i="4"/>
  <c r="C11" i="1"/>
</calcChain>
</file>

<file path=xl/sharedStrings.xml><?xml version="1.0" encoding="utf-8"?>
<sst xmlns="http://schemas.openxmlformats.org/spreadsheetml/2006/main" count="36" uniqueCount="15">
  <si>
    <t>試験日</t>
    <rPh sb="0" eb="3">
      <t>シケンビ</t>
    </rPh>
    <phoneticPr fontId="1"/>
  </si>
  <si>
    <t>使用した高圧ガス</t>
    <rPh sb="0" eb="2">
      <t>シヨウ</t>
    </rPh>
    <rPh sb="4" eb="6">
      <t>コウアツ</t>
    </rPh>
    <phoneticPr fontId="1"/>
  </si>
  <si>
    <t xml:space="preserve">窒素 </t>
    <rPh sb="0" eb="2">
      <t>チッソ</t>
    </rPh>
    <phoneticPr fontId="1"/>
  </si>
  <si>
    <t>酸素</t>
    <rPh sb="0" eb="2">
      <t>サンソ</t>
    </rPh>
    <phoneticPr fontId="1"/>
  </si>
  <si>
    <t>亜酸化窒素</t>
    <rPh sb="0" eb="5">
      <t>アサンカチッソ</t>
    </rPh>
    <phoneticPr fontId="1"/>
  </si>
  <si>
    <t>電流 [mA]</t>
    <rPh sb="0" eb="2">
      <t>デンリュウ</t>
    </rPh>
    <phoneticPr fontId="1"/>
  </si>
  <si>
    <t>No.</t>
    <phoneticPr fontId="1"/>
  </si>
  <si>
    <t>マスタ圧力計 [MPa]</t>
    <rPh sb="3" eb="6">
      <t>アツリョクケイ</t>
    </rPh>
    <phoneticPr fontId="1"/>
  </si>
  <si>
    <t>CALIB_SLOP_A</t>
    <phoneticPr fontId="1"/>
  </si>
  <si>
    <t>代入→</t>
    <rPh sb="0" eb="2">
      <t>ダイニュウ</t>
    </rPh>
    <phoneticPr fontId="1"/>
  </si>
  <si>
    <t>理論値</t>
    <rPh sb="0" eb="3">
      <t>リロンチ</t>
    </rPh>
    <phoneticPr fontId="1"/>
  </si>
  <si>
    <t>圧力媒体</t>
    <rPh sb="0" eb="4">
      <t>アツリョクバイタイ</t>
    </rPh>
    <phoneticPr fontId="1"/>
  </si>
  <si>
    <t>精製水</t>
    <rPh sb="0" eb="3">
      <t>セイセイスイ</t>
    </rPh>
    <phoneticPr fontId="1"/>
  </si>
  <si>
    <t>不明</t>
    <rPh sb="0" eb="2">
      <t>フメイ</t>
    </rPh>
    <phoneticPr fontId="1"/>
  </si>
  <si>
    <t>CALIB_SLOPE_A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</si>
</sst>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0"/>
    <numFmt numFmtId="182" formatCode="0.00_);[Red]\(0.00\)"/>
    <numFmt numFmtId="183" formatCode="0.000_);[Red]\(0.000\)"/>
  </numFmts>
  <fonts count="6" x14ac:knownFonts="1">
    <font>
      <sz val="11"/>
      <color theme="1"/>
      <name val="Moralerspace Neon JPDOC"/>
      <family val="2"/>
      <charset val="128"/>
    </font>
    <font>
      <sz val="6"/>
      <name val="Moralerspace Neon JPDOC"/>
      <family val="2"/>
      <charset val="128"/>
    </font>
    <font>
      <sz val="11"/>
      <color theme="0" tint="-0.34998626667073579"/>
      <name val="Moralerspace Neon JPDOC"/>
      <family val="3"/>
      <charset val="128"/>
    </font>
    <font>
      <sz val="11"/>
      <color theme="1"/>
      <name val="Moralerspace Neon JPDOC"/>
      <family val="3"/>
      <charset val="128"/>
    </font>
    <font>
      <b/>
      <sz val="11"/>
      <color theme="1"/>
      <name val="Moralerspace Neon JPDOC"/>
      <family val="3"/>
      <charset val="128"/>
    </font>
    <font>
      <sz val="11"/>
      <color theme="9"/>
      <name val="Moralerspace Neon JPDO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4" fillId="0" borderId="0" xfId="0" applyNumberFormat="1" applyFont="1">
      <alignment vertical="center"/>
    </xf>
    <xf numFmtId="183" fontId="3" fillId="0" borderId="0" xfId="0" applyNumberFormat="1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14" fontId="3" fillId="0" borderId="1" xfId="0" applyNumberFormat="1" applyFont="1" applyBorder="1">
      <alignment vertical="center"/>
    </xf>
    <xf numFmtId="182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1" defaultTableStyle="TableStyleMedium2" defaultPivotStyle="PivotStyleLight16">
    <tableStyle name="Invisible" pivot="0" table="0" count="0" xr9:uid="{6527D2B3-BDA0-46D5-B1F4-22F23125FA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r>
              <a:rPr lang="en-US"/>
              <a:t>VESIM10 </a:t>
            </a:r>
            <a:r>
              <a:rPr lang="ja-JP" altLang="en-US"/>
              <a:t>校正</a:t>
            </a:r>
            <a:r>
              <a:rPr lang="ja-JP"/>
              <a:t>グラフ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ralerspace Neon JPDOC" panose="020B0503020203020207" pitchFamily="50" charset="-128"/>
              <a:ea typeface="Moralerspace Neon JPDOC" panose="020B0503020203020207" pitchFamily="50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'20260221_1'!$C$3</c:f>
              <c:strCache>
                <c:ptCount val="1"/>
                <c:pt idx="0">
                  <c:v>マスタ圧力計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ralerspace Neon JPDOC" panose="020B0503020203020207" pitchFamily="50" charset="-128"/>
                      <a:ea typeface="Moralerspace Neon JPDOC" panose="020B0503020203020207" pitchFamily="50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'20260221_1'!$B$4:$B$9</c:f>
              <c:numCache>
                <c:formatCode>0.00_);[Red]\(0.00\)</c:formatCode>
                <c:ptCount val="6"/>
                <c:pt idx="0">
                  <c:v>4.08</c:v>
                </c:pt>
                <c:pt idx="1">
                  <c:v>6.08</c:v>
                </c:pt>
                <c:pt idx="2">
                  <c:v>7.95</c:v>
                </c:pt>
                <c:pt idx="3">
                  <c:v>10.199999999999999</c:v>
                </c:pt>
                <c:pt idx="4">
                  <c:v>12.6</c:v>
                </c:pt>
                <c:pt idx="5">
                  <c:v>14.2</c:v>
                </c:pt>
              </c:numCache>
            </c:numRef>
          </c:xVal>
          <c:yVal>
            <c:numRef>
              <c:f>'20260221_1'!$C$4:$C$9</c:f>
              <c:numCache>
                <c:formatCode>General</c:formatCode>
                <c:ptCount val="6"/>
                <c:pt idx="0">
                  <c:v>0</c:v>
                </c:pt>
                <c:pt idx="1">
                  <c:v>1.2</c:v>
                </c:pt>
                <c:pt idx="2">
                  <c:v>2.2999999999999998</c:v>
                </c:pt>
                <c:pt idx="3">
                  <c:v>3.6</c:v>
                </c:pt>
                <c:pt idx="4">
                  <c:v>4.74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E1-4D9B-AE75-5E51225A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30575"/>
        <c:axId val="1514231055"/>
      </c:scatterChart>
      <c:valAx>
        <c:axId val="15142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1055"/>
        <c:crosses val="autoZero"/>
        <c:crossBetween val="midCat"/>
      </c:valAx>
      <c:valAx>
        <c:axId val="15142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マスタ圧力 </a:t>
                </a:r>
                <a:r>
                  <a:rPr lang="en-US" altLang="ja-JP"/>
                  <a:t>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alerspace Neon JPDOC" panose="020B0503020203020207" pitchFamily="50" charset="-128"/>
          <a:ea typeface="Moralerspace Neon JPDOC" panose="020B0503020203020207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r>
              <a:rPr lang="en-US"/>
              <a:t>VESIM10 </a:t>
            </a:r>
            <a:r>
              <a:rPr lang="ja-JP" altLang="en-US"/>
              <a:t>校正</a:t>
            </a:r>
            <a:r>
              <a:rPr lang="ja-JP"/>
              <a:t>グラフ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ralerspace Neon JPDOC" panose="020B0503020203020207" pitchFamily="50" charset="-128"/>
              <a:ea typeface="Moralerspace Neon JPDOC" panose="020B0503020203020207" pitchFamily="50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試験成績表!$C$3</c:f>
              <c:strCache>
                <c:ptCount val="1"/>
                <c:pt idx="0">
                  <c:v>マスタ圧力計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ralerspace Neon JPDOC" panose="020B0503020203020207" pitchFamily="50" charset="-128"/>
                      <a:ea typeface="Moralerspace Neon JPDOC" panose="020B0503020203020207" pitchFamily="50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試験成績表!$B$4:$B$9</c:f>
              <c:numCache>
                <c:formatCode>General</c:formatCode>
                <c:ptCount val="6"/>
                <c:pt idx="0">
                  <c:v>3.99</c:v>
                </c:pt>
                <c:pt idx="1">
                  <c:v>11.97</c:v>
                </c:pt>
                <c:pt idx="2">
                  <c:v>20.02</c:v>
                </c:pt>
              </c:numCache>
            </c:numRef>
          </c:xVal>
          <c:yVal>
            <c:numRef>
              <c:f>試験成績表!$C$4:$C$9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04-4880-B82A-F364B6ED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30575"/>
        <c:axId val="1514231055"/>
      </c:scatterChart>
      <c:valAx>
        <c:axId val="15142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1055"/>
        <c:crosses val="autoZero"/>
        <c:crossBetween val="midCat"/>
      </c:valAx>
      <c:valAx>
        <c:axId val="15142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マスタ圧力 </a:t>
                </a:r>
                <a:r>
                  <a:rPr lang="en-US" altLang="ja-JP"/>
                  <a:t>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alerspace Neon JPDOC" panose="020B0503020203020207" pitchFamily="50" charset="-128"/>
          <a:ea typeface="Moralerspace Neon JPDOC" panose="020B0503020203020207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r>
              <a:rPr lang="en-US"/>
              <a:t>VESIM10 </a:t>
            </a:r>
            <a:r>
              <a:rPr lang="ja-JP" altLang="en-US"/>
              <a:t>校正</a:t>
            </a:r>
            <a:r>
              <a:rPr lang="ja-JP"/>
              <a:t>グラフ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ralerspace Neon JPDOC" panose="020B0503020203020207" pitchFamily="50" charset="-128"/>
              <a:ea typeface="Moralerspace Neon JPDOC" panose="020B0503020203020207" pitchFamily="50" charset="-128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テンプレート!$C$3</c:f>
              <c:strCache>
                <c:ptCount val="1"/>
                <c:pt idx="0">
                  <c:v>マスタ圧力計 [MPa]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oralerspace Neon JPDOC" panose="020B0503020203020207" pitchFamily="50" charset="-128"/>
                      <a:ea typeface="Moralerspace Neon JPDOC" panose="020B0503020203020207" pitchFamily="50" charset="-128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テンプレート!$B$4:$B$9</c:f>
              <c:numCache>
                <c:formatCode>General</c:formatCode>
                <c:ptCount val="6"/>
                <c:pt idx="0">
                  <c:v>4.08</c:v>
                </c:pt>
                <c:pt idx="1">
                  <c:v>7.25</c:v>
                </c:pt>
                <c:pt idx="2">
                  <c:v>10.42</c:v>
                </c:pt>
                <c:pt idx="3">
                  <c:v>13.58</c:v>
                </c:pt>
                <c:pt idx="4">
                  <c:v>16.739999999999998</c:v>
                </c:pt>
                <c:pt idx="5">
                  <c:v>19.91</c:v>
                </c:pt>
              </c:numCache>
            </c:numRef>
          </c:xVal>
          <c:yVal>
            <c:numRef>
              <c:f>テンプレート!$C$4:$C$9</c:f>
              <c:numCache>
                <c:formatCode>General</c:formatCode>
                <c:ptCount val="6"/>
                <c:pt idx="0">
                  <c:v>0</c:v>
                </c:pt>
                <c:pt idx="1">
                  <c:v>2.1</c:v>
                </c:pt>
                <c:pt idx="2">
                  <c:v>4.2</c:v>
                </c:pt>
                <c:pt idx="3">
                  <c:v>5.8</c:v>
                </c:pt>
                <c:pt idx="4">
                  <c:v>8.1999999999999993</c:v>
                </c:pt>
                <c:pt idx="5">
                  <c:v>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8D-4D7A-B305-E027B06C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230575"/>
        <c:axId val="1514231055"/>
      </c:scatterChart>
      <c:valAx>
        <c:axId val="151423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電流</a:t>
                </a:r>
                <a:r>
                  <a:rPr lang="ja-JP" altLang="en-US" baseline="0"/>
                  <a:t> </a:t>
                </a:r>
                <a:r>
                  <a:rPr lang="en-US" altLang="ja-JP" baseline="0"/>
                  <a:t>[mA]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1055"/>
        <c:crosses val="autoZero"/>
        <c:crossBetween val="midCat"/>
      </c:valAx>
      <c:valAx>
        <c:axId val="15142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ralerspace Neon JPDOC" panose="020B0503020203020207" pitchFamily="50" charset="-128"/>
                    <a:ea typeface="Moralerspace Neon JPDOC" panose="020B0503020203020207" pitchFamily="50" charset="-128"/>
                    <a:cs typeface="+mn-cs"/>
                  </a:defRPr>
                </a:pPr>
                <a:r>
                  <a:rPr lang="ja-JP" altLang="en-US"/>
                  <a:t>マスタ圧力 </a:t>
                </a:r>
                <a:r>
                  <a:rPr lang="en-US" altLang="ja-JP"/>
                  <a:t>[MPa]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ralerspace Neon JPDOC" panose="020B0503020203020207" pitchFamily="50" charset="-128"/>
                  <a:ea typeface="Moralerspace Neon JPDOC" panose="020B0503020203020207" pitchFamily="50" charset="-128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ralerspace Neon JPDOC" panose="020B0503020203020207" pitchFamily="50" charset="-128"/>
                <a:ea typeface="Moralerspace Neon JPDOC" panose="020B0503020203020207" pitchFamily="50" charset="-128"/>
                <a:cs typeface="+mn-cs"/>
              </a:defRPr>
            </a:pPr>
            <a:endParaRPr lang="ja-JP"/>
          </a:p>
        </c:txPr>
        <c:crossAx val="151423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ralerspace Neon JPDOC" panose="020B0503020203020207" pitchFamily="50" charset="-128"/>
          <a:ea typeface="Moralerspace Neon JPDOC" panose="020B0503020203020207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147669</xdr:colOff>
      <xdr:row>2</xdr:row>
      <xdr:rowOff>2497</xdr:rowOff>
    </xdr:from>
    <xdr:to>
      <xdr:col>6</xdr:col>
      <xdr:colOff>369766</xdr:colOff>
      <xdr:row>16</xdr:row>
      <xdr:rowOff>124810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6859114-E847-1A58-DA32-DCDAA6873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147669</xdr:colOff>
      <xdr:row>2</xdr:row>
      <xdr:rowOff>2497</xdr:rowOff>
    </xdr:from>
    <xdr:to>
      <xdr:col>6</xdr:col>
      <xdr:colOff>369766</xdr:colOff>
      <xdr:row>16</xdr:row>
      <xdr:rowOff>124810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125F122-D673-4FD9-A23B-8B21F711A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401100</xdr:colOff>
      <xdr:row>1</xdr:row>
      <xdr:rowOff>169480</xdr:rowOff>
    </xdr:from>
    <xdr:to>
      <xdr:col>6</xdr:col>
      <xdr:colOff>617482</xdr:colOff>
      <xdr:row>16</xdr:row>
      <xdr:rowOff>111672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5BE3B5E-37B0-4317-B48C-8073BE106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504-CE38-4303-A560-14B7652FB1C2}">
  <dimension ref="A1:O22"/>
  <sheetViews>
    <sheetView tabSelected="1" zoomScale="104" zoomScaleNormal="145" workbookViewId="0">
      <selection activeCell="C15" sqref="C15"/>
    </sheetView>
  </sheetViews>
  <sheetFormatPr defaultRowHeight="14.4" x14ac:dyDescent="0.3"/>
  <cols>
    <col min="1" max="1" width="8.7265625" style="2"/>
    <col min="2" max="2" width="14.7265625" style="2" customWidth="1"/>
    <col min="3" max="3" width="17.81640625" style="2" customWidth="1"/>
    <col min="4" max="4" width="18.08984375" style="2" customWidth="1"/>
    <col min="5" max="14" width="8.7265625" style="2"/>
    <col min="15" max="15" width="8.7265625" style="1"/>
    <col min="16" max="16384" width="8.7265625" style="2"/>
  </cols>
  <sheetData>
    <row r="1" spans="1:15" x14ac:dyDescent="0.3">
      <c r="A1" s="4" t="s">
        <v>0</v>
      </c>
      <c r="B1" s="11">
        <v>46074</v>
      </c>
      <c r="C1" s="4" t="s">
        <v>11</v>
      </c>
      <c r="D1" s="4" t="s">
        <v>12</v>
      </c>
      <c r="O1" s="1" t="s">
        <v>2</v>
      </c>
    </row>
    <row r="2" spans="1:15" x14ac:dyDescent="0.3">
      <c r="O2" s="1" t="s">
        <v>3</v>
      </c>
    </row>
    <row r="3" spans="1:15" x14ac:dyDescent="0.3">
      <c r="A3" s="5" t="s">
        <v>6</v>
      </c>
      <c r="B3" s="5" t="s">
        <v>5</v>
      </c>
      <c r="C3" s="5" t="s">
        <v>7</v>
      </c>
      <c r="D3" s="3"/>
      <c r="O3" s="1" t="s">
        <v>4</v>
      </c>
    </row>
    <row r="4" spans="1:15" x14ac:dyDescent="0.3">
      <c r="A4" s="4">
        <v>1</v>
      </c>
      <c r="B4" s="12">
        <v>4.08</v>
      </c>
      <c r="C4" s="4">
        <v>0</v>
      </c>
      <c r="O4" s="1" t="s">
        <v>12</v>
      </c>
    </row>
    <row r="5" spans="1:15" x14ac:dyDescent="0.3">
      <c r="A5" s="4">
        <v>2</v>
      </c>
      <c r="B5" s="12">
        <v>6.08</v>
      </c>
      <c r="C5" s="4">
        <v>1.2</v>
      </c>
    </row>
    <row r="6" spans="1:15" x14ac:dyDescent="0.3">
      <c r="A6" s="4">
        <v>3</v>
      </c>
      <c r="B6" s="12">
        <v>7.95</v>
      </c>
      <c r="C6" s="4">
        <v>2.2999999999999998</v>
      </c>
    </row>
    <row r="7" spans="1:15" x14ac:dyDescent="0.3">
      <c r="A7" s="4">
        <v>4</v>
      </c>
      <c r="B7" s="12">
        <v>10.199999999999999</v>
      </c>
      <c r="C7" s="4">
        <v>3.6</v>
      </c>
    </row>
    <row r="8" spans="1:15" x14ac:dyDescent="0.3">
      <c r="A8" s="4">
        <v>5</v>
      </c>
      <c r="B8" s="12">
        <v>12.6</v>
      </c>
      <c r="C8" s="4">
        <v>4.74</v>
      </c>
    </row>
    <row r="9" spans="1:15" x14ac:dyDescent="0.3">
      <c r="A9" s="4">
        <v>6</v>
      </c>
      <c r="B9" s="12">
        <v>14.2</v>
      </c>
      <c r="C9" s="4">
        <v>6</v>
      </c>
    </row>
    <row r="11" spans="1:15" x14ac:dyDescent="0.3">
      <c r="A11" s="2" t="s">
        <v>9</v>
      </c>
      <c r="B11" s="8" t="s">
        <v>14</v>
      </c>
      <c r="C11" s="6">
        <f>SLOPE(C4:C9,B4:B9)</f>
        <v>0.57765590625809671</v>
      </c>
    </row>
    <row r="12" spans="1:15" x14ac:dyDescent="0.3">
      <c r="B12" s="9" t="s">
        <v>10</v>
      </c>
      <c r="C12" s="10">
        <f>10/16</f>
        <v>0.625</v>
      </c>
    </row>
    <row r="22" spans="4:4" x14ac:dyDescent="0.3">
      <c r="D22" s="7"/>
    </row>
  </sheetData>
  <phoneticPr fontId="1"/>
  <dataValidations disablePrompts="1" count="1">
    <dataValidation type="list" allowBlank="1" showInputMessage="1" showErrorMessage="1" sqref="D1" xr:uid="{4007C36E-A77C-45ED-B8F2-7CF02FA2172E}">
      <formula1>$O$1:$O$4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A1EB-2423-4E6B-BC1C-43D3323E71B1}">
  <dimension ref="A1:O12"/>
  <sheetViews>
    <sheetView zoomScale="145" zoomScaleNormal="145" workbookViewId="0">
      <selection activeCell="C11" sqref="C11"/>
    </sheetView>
  </sheetViews>
  <sheetFormatPr defaultRowHeight="14.4" x14ac:dyDescent="0.3"/>
  <cols>
    <col min="1" max="1" width="8.7265625" style="2"/>
    <col min="2" max="2" width="14.7265625" style="2" customWidth="1"/>
    <col min="3" max="3" width="17.81640625" style="2" customWidth="1"/>
    <col min="4" max="4" width="18.08984375" style="2" customWidth="1"/>
    <col min="5" max="14" width="8.7265625" style="2"/>
    <col min="15" max="15" width="8.7265625" style="1"/>
    <col min="16" max="16384" width="8.7265625" style="2"/>
  </cols>
  <sheetData>
    <row r="1" spans="1:15" x14ac:dyDescent="0.3">
      <c r="A1" s="4" t="s">
        <v>0</v>
      </c>
      <c r="B1" s="11">
        <v>45309</v>
      </c>
      <c r="C1" s="4" t="s">
        <v>1</v>
      </c>
      <c r="D1" s="4" t="s">
        <v>13</v>
      </c>
      <c r="O1" s="1" t="s">
        <v>2</v>
      </c>
    </row>
    <row r="2" spans="1:15" x14ac:dyDescent="0.3">
      <c r="O2" s="1" t="s">
        <v>3</v>
      </c>
    </row>
    <row r="3" spans="1:15" x14ac:dyDescent="0.3">
      <c r="A3" s="5" t="s">
        <v>6</v>
      </c>
      <c r="B3" s="5" t="s">
        <v>5</v>
      </c>
      <c r="C3" s="5" t="s">
        <v>7</v>
      </c>
      <c r="D3" s="3"/>
      <c r="O3" s="1" t="s">
        <v>4</v>
      </c>
    </row>
    <row r="4" spans="1:15" x14ac:dyDescent="0.3">
      <c r="A4" s="4">
        <v>1</v>
      </c>
      <c r="B4" s="4">
        <v>3.99</v>
      </c>
      <c r="C4" s="4">
        <v>0</v>
      </c>
      <c r="O4" s="1" t="s">
        <v>12</v>
      </c>
    </row>
    <row r="5" spans="1:15" x14ac:dyDescent="0.3">
      <c r="A5" s="4">
        <v>2</v>
      </c>
      <c r="B5" s="4">
        <v>11.97</v>
      </c>
      <c r="C5" s="4">
        <v>5</v>
      </c>
      <c r="O5" s="1" t="s">
        <v>13</v>
      </c>
    </row>
    <row r="6" spans="1:15" x14ac:dyDescent="0.3">
      <c r="A6" s="4">
        <v>3</v>
      </c>
      <c r="B6" s="4">
        <v>20.02</v>
      </c>
      <c r="C6" s="4">
        <v>10</v>
      </c>
    </row>
    <row r="7" spans="1:15" x14ac:dyDescent="0.3">
      <c r="A7" s="4">
        <v>4</v>
      </c>
      <c r="B7" s="4"/>
      <c r="C7" s="4"/>
    </row>
    <row r="8" spans="1:15" x14ac:dyDescent="0.3">
      <c r="A8" s="4">
        <v>5</v>
      </c>
      <c r="B8" s="4"/>
      <c r="C8" s="4"/>
    </row>
    <row r="9" spans="1:15" x14ac:dyDescent="0.3">
      <c r="A9" s="4">
        <v>6</v>
      </c>
      <c r="B9" s="4"/>
      <c r="C9" s="4"/>
    </row>
    <row r="11" spans="1:15" x14ac:dyDescent="0.3">
      <c r="A11" s="2" t="s">
        <v>9</v>
      </c>
      <c r="B11" s="8" t="s">
        <v>8</v>
      </c>
      <c r="C11" s="6">
        <f>SLOPE(C4:C9,B4:B9)</f>
        <v>0.62382635289502641</v>
      </c>
    </row>
    <row r="12" spans="1:15" x14ac:dyDescent="0.3">
      <c r="B12" s="9" t="s">
        <v>10</v>
      </c>
      <c r="C12" s="10">
        <f>10/16</f>
        <v>0.625</v>
      </c>
    </row>
  </sheetData>
  <phoneticPr fontId="1"/>
  <dataValidations count="1">
    <dataValidation type="list" allowBlank="1" showInputMessage="1" showErrorMessage="1" sqref="D1" xr:uid="{9C838551-CD13-41F7-B8C4-2364B50667FA}">
      <formula1>$O$1:$O$10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06D6-57BD-4614-878C-5CDEC0D0A417}">
  <dimension ref="A1:O9"/>
  <sheetViews>
    <sheetView zoomScale="145" zoomScaleNormal="145" workbookViewId="0">
      <selection activeCell="J18" sqref="J18"/>
    </sheetView>
  </sheetViews>
  <sheetFormatPr defaultRowHeight="14.4" x14ac:dyDescent="0.3"/>
  <cols>
    <col min="1" max="1" width="8.7265625" style="2"/>
    <col min="2" max="2" width="14.7265625" style="2" customWidth="1"/>
    <col min="3" max="3" width="17.81640625" style="2" customWidth="1"/>
    <col min="4" max="4" width="18.08984375" style="2" customWidth="1"/>
    <col min="5" max="14" width="8.7265625" style="2"/>
    <col min="15" max="15" width="8.7265625" style="1"/>
    <col min="16" max="16384" width="8.7265625" style="2"/>
  </cols>
  <sheetData>
    <row r="1" spans="1:15" x14ac:dyDescent="0.3">
      <c r="A1" s="4" t="s">
        <v>0</v>
      </c>
      <c r="B1" s="4"/>
      <c r="C1" s="4" t="s">
        <v>1</v>
      </c>
      <c r="D1" s="4"/>
      <c r="O1" s="1" t="s">
        <v>2</v>
      </c>
    </row>
    <row r="2" spans="1:15" x14ac:dyDescent="0.3">
      <c r="O2" s="1" t="s">
        <v>3</v>
      </c>
    </row>
    <row r="3" spans="1:15" x14ac:dyDescent="0.3">
      <c r="A3" s="5" t="s">
        <v>6</v>
      </c>
      <c r="B3" s="5" t="s">
        <v>5</v>
      </c>
      <c r="C3" s="5" t="s">
        <v>7</v>
      </c>
      <c r="D3" s="3"/>
      <c r="O3" s="1" t="s">
        <v>4</v>
      </c>
    </row>
    <row r="4" spans="1:15" x14ac:dyDescent="0.3">
      <c r="A4" s="4">
        <v>1</v>
      </c>
      <c r="B4" s="4">
        <v>4.08</v>
      </c>
      <c r="C4" s="4">
        <v>0</v>
      </c>
      <c r="O4" s="1" t="s">
        <v>12</v>
      </c>
    </row>
    <row r="5" spans="1:15" x14ac:dyDescent="0.3">
      <c r="A5" s="4">
        <v>2</v>
      </c>
      <c r="B5" s="4">
        <v>7.25</v>
      </c>
      <c r="C5" s="4">
        <v>2.1</v>
      </c>
    </row>
    <row r="6" spans="1:15" x14ac:dyDescent="0.3">
      <c r="A6" s="4">
        <v>3</v>
      </c>
      <c r="B6" s="4">
        <v>10.42</v>
      </c>
      <c r="C6" s="4">
        <v>4.2</v>
      </c>
    </row>
    <row r="7" spans="1:15" x14ac:dyDescent="0.3">
      <c r="A7" s="4">
        <v>4</v>
      </c>
      <c r="B7" s="4">
        <v>13.58</v>
      </c>
      <c r="C7" s="4">
        <v>5.8</v>
      </c>
    </row>
    <row r="8" spans="1:15" x14ac:dyDescent="0.3">
      <c r="A8" s="4">
        <v>5</v>
      </c>
      <c r="B8" s="4">
        <v>16.739999999999998</v>
      </c>
      <c r="C8" s="4">
        <v>8.1999999999999993</v>
      </c>
    </row>
    <row r="9" spans="1:15" x14ac:dyDescent="0.3">
      <c r="A9" s="4">
        <v>6</v>
      </c>
      <c r="B9" s="4">
        <v>19.91</v>
      </c>
      <c r="C9" s="4">
        <v>9.9</v>
      </c>
    </row>
  </sheetData>
  <phoneticPr fontId="1"/>
  <dataValidations count="1">
    <dataValidation type="list" allowBlank="1" showInputMessage="1" showErrorMessage="1" sqref="D1" xr:uid="{CFA3A91B-39FB-4CBE-B656-6F172A3E63A1}">
      <formula1>$O$1:$O$10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20260221_1</vt:lpstr>
      <vt:lpstr>試験成績表</vt:lpstr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5CEMM058</dc:creator>
  <cp:lastModifiedBy>5CEMM058</cp:lastModifiedBy>
  <dcterms:created xsi:type="dcterms:W3CDTF">2026-02-16T13:54:21Z</dcterms:created>
  <dcterms:modified xsi:type="dcterms:W3CDTF">2026-02-21T09:36:32Z</dcterms:modified>
</cp:coreProperties>
</file>